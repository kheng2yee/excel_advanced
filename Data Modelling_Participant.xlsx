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khengyee-my.sharepoint.com/personal/khengyee_goh_inferlens_com1/Documents/Training/Jobs/0_202605_EduAction RBC_Excel Advanced/Lab Materials/"/>
    </mc:Choice>
  </mc:AlternateContent>
  <xr:revisionPtr revIDLastSave="211" documentId="8_{EC3AE4ED-606A-446B-941B-FC2DFF333BAE}" xr6:coauthVersionLast="47" xr6:coauthVersionMax="47" xr10:uidLastSave="{0DCB6000-4815-4488-866B-D6635A6C0AF3}"/>
  <bookViews>
    <workbookView xWindow="-110" yWindow="-110" windowWidth="19420" windowHeight="10300" activeTab="6" xr2:uid="{00000000-000D-0000-FFFF-FFFF00000000}"/>
  </bookViews>
  <sheets>
    <sheet name="Orders" sheetId="1" r:id="rId1"/>
    <sheet name="Product" sheetId="2" r:id="rId2"/>
    <sheet name="SalesRep" sheetId="3" r:id="rId3"/>
    <sheet name="SalesData" sheetId="7" r:id="rId4"/>
    <sheet name="Sparklines" sheetId="10" r:id="rId5"/>
    <sheet name="Waterfall" sheetId="11" r:id="rId6"/>
    <sheet name="Combo" sheetId="12" r:id="rId7"/>
  </sheets>
  <definedNames>
    <definedName name="_xlcn.WorksheetConnection_DataModelling.xlsxTable1" hidden="1">SalesRep!$A$1:$D$26</definedName>
    <definedName name="_xlcn.WorksheetConnection_DataModelling.xlsxTable2" hidden="1">Product!$A$1:$D$46</definedName>
    <definedName name="_xlcn.WorksheetConnection_DataModelling.xlsxTable3" hidden="1">Orders!$A$1:$J$101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3" name="Orders" connection="WorksheetConnection_Data Modelling.xlsx!Table3"/>
          <x15:modelTable id="Table2" name="Product" connection="WorksheetConnection_Data Modelling.xlsx!Table2"/>
          <x15:modelTable id="Table1" name="SalesRep" connection="WorksheetConnection_Data Modelling.xlsx!Table1"/>
        </x15:modelTables>
        <x15:modelRelationships>
          <x15:modelRelationship fromTable="Orders" fromColumn="Product ID" toTable="Product" toColumn="Product ID"/>
          <x15:modelRelationship fromTable="Orders" fromColumn="Sales Rep ID" toTable="SalesRep" toColumn="Sales Rep 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H40" i="1"/>
  <c r="H41" i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I39" i="1"/>
  <c r="I40" i="1"/>
  <c r="I41" i="1"/>
  <c r="I5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2" i="1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03D234-7D4D-460A-8A34-AE5CBBECE7D3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CF618D0-E833-4C4C-81B2-6048133C1706}" name="WorksheetConnection_Data Modelling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DataModelling.xlsxTable1"/>
        </x15:connection>
      </ext>
    </extLst>
  </connection>
  <connection id="3" xr16:uid="{29F1938A-5BFB-4C4B-9C03-C79257D34DEA}" name="WorksheetConnection_Data Modelling.xlsx!Table2" type="102" refreshedVersion="8" minRefreshableVersion="5">
    <extLst>
      <ext xmlns:x15="http://schemas.microsoft.com/office/spreadsheetml/2010/11/main" uri="{DE250136-89BD-433C-8126-D09CA5730AF9}">
        <x15:connection id="Table2" autoDelete="1">
          <x15:rangePr sourceName="_xlcn.WorksheetConnection_DataModelling.xlsxTable2"/>
        </x15:connection>
      </ext>
    </extLst>
  </connection>
  <connection id="4" xr16:uid="{4A6DF355-08F6-4B2D-ADF4-2FAF895F8245}" name="WorksheetConnection_Data Modelling.xlsx!Table3" type="102" refreshedVersion="8" minRefreshableVersion="5">
    <extLst>
      <ext xmlns:x15="http://schemas.microsoft.com/office/spreadsheetml/2010/11/main" uri="{DE250136-89BD-433C-8126-D09CA5730AF9}">
        <x15:connection id="Table3" autoDelete="1">
          <x15:rangePr sourceName="_xlcn.WorksheetConnection_DataModelling.xlsxTable3"/>
        </x15:connection>
      </ext>
    </extLst>
  </connection>
</connections>
</file>

<file path=xl/sharedStrings.xml><?xml version="1.0" encoding="utf-8"?>
<sst xmlns="http://schemas.openxmlformats.org/spreadsheetml/2006/main" count="873" uniqueCount="414">
  <si>
    <t>Date</t>
  </si>
  <si>
    <t>Order ID</t>
  </si>
  <si>
    <t>Product ID</t>
  </si>
  <si>
    <t>Quantity</t>
  </si>
  <si>
    <t>Sales Rep ID</t>
  </si>
  <si>
    <t>Product Name</t>
  </si>
  <si>
    <t>Category</t>
  </si>
  <si>
    <t>Unit Price</t>
  </si>
  <si>
    <t>Stapler</t>
  </si>
  <si>
    <t>Office Supplies</t>
  </si>
  <si>
    <t>Paper Clips (100pc)</t>
  </si>
  <si>
    <t>Desk Organizer</t>
  </si>
  <si>
    <t>Whiteboard</t>
  </si>
  <si>
    <t>Hole Punch</t>
  </si>
  <si>
    <t>Scissors</t>
  </si>
  <si>
    <t>Wireless Mouse</t>
  </si>
  <si>
    <t>Electronics</t>
  </si>
  <si>
    <t>USB-C Hub</t>
  </si>
  <si>
    <t>Portable Projector</t>
  </si>
  <si>
    <t>Noise-Canceling Headphones</t>
  </si>
  <si>
    <t>Webcam 1080p</t>
  </si>
  <si>
    <t>Bluetooth Speaker</t>
  </si>
  <si>
    <t>Ergonomic Chair</t>
  </si>
  <si>
    <t>Furniture</t>
  </si>
  <si>
    <t>Standing Desk</t>
  </si>
  <si>
    <t>Filing Cabinet</t>
  </si>
  <si>
    <t>Bookshelf</t>
  </si>
  <si>
    <t>Footrest</t>
  </si>
  <si>
    <t>Desk Lamp</t>
  </si>
  <si>
    <t>A4 Copy Paper (500)</t>
  </si>
  <si>
    <t>Stationery</t>
  </si>
  <si>
    <t>Notepad A5</t>
  </si>
  <si>
    <t>Gel Pens (10)</t>
  </si>
  <si>
    <t>Highlighters (6)</t>
  </si>
  <si>
    <t>Sticky Notes Pack</t>
  </si>
  <si>
    <t>Binder A4</t>
  </si>
  <si>
    <t>Mechanical Keyboard</t>
  </si>
  <si>
    <t>Computer Accessories</t>
  </si>
  <si>
    <t>SSD 1TB</t>
  </si>
  <si>
    <t>External HDD 2TB</t>
  </si>
  <si>
    <t>RAM 16GB Kit</t>
  </si>
  <si>
    <t>Graphics Tablet</t>
  </si>
  <si>
    <t>Laptop Stand</t>
  </si>
  <si>
    <t>Rep Name</t>
  </si>
  <si>
    <t>Region</t>
  </si>
  <si>
    <t>Territory</t>
  </si>
  <si>
    <t>Rowan Anderson</t>
  </si>
  <si>
    <t>Central</t>
  </si>
  <si>
    <t>Chicago</t>
  </si>
  <si>
    <t>Avery Torres</t>
  </si>
  <si>
    <t>East</t>
  </si>
  <si>
    <t>Boston</t>
  </si>
  <si>
    <t>Peyton Smith</t>
  </si>
  <si>
    <t>South</t>
  </si>
  <si>
    <t>Austin</t>
  </si>
  <si>
    <t>Finley Wright</t>
  </si>
  <si>
    <t>Denver</t>
  </si>
  <si>
    <t>Peyton Nguyen</t>
  </si>
  <si>
    <t>West</t>
  </si>
  <si>
    <t>San Diego</t>
  </si>
  <si>
    <t>Finley Anderson</t>
  </si>
  <si>
    <t>Houston</t>
  </si>
  <si>
    <t>Peyton Wright</t>
  </si>
  <si>
    <t>North</t>
  </si>
  <si>
    <t>Seattle</t>
  </si>
  <si>
    <t>Marley Torres</t>
  </si>
  <si>
    <t>Hayden Johnson</t>
  </si>
  <si>
    <t>New York</t>
  </si>
  <si>
    <t>Finley Garcia</t>
  </si>
  <si>
    <t>Boise</t>
  </si>
  <si>
    <t>Drew Thomas</t>
  </si>
  <si>
    <t>Jules Wilson</t>
  </si>
  <si>
    <t>Los Angeles</t>
  </si>
  <si>
    <t>Finley Harris</t>
  </si>
  <si>
    <t>Dallas</t>
  </si>
  <si>
    <t>Avery Smith</t>
  </si>
  <si>
    <t>Riley Harris</t>
  </si>
  <si>
    <t>Reese Smith</t>
  </si>
  <si>
    <t>Elliot Garcia</t>
  </si>
  <si>
    <t>Skyler Green</t>
  </si>
  <si>
    <t>Logan Scott</t>
  </si>
  <si>
    <t>San Jose</t>
  </si>
  <si>
    <t>Cameron King</t>
  </si>
  <si>
    <t>Casey King</t>
  </si>
  <si>
    <t>Casey Hall</t>
  </si>
  <si>
    <t>Philadelphia</t>
  </si>
  <si>
    <t>Dakota White</t>
  </si>
  <si>
    <t>Peyton Torres</t>
  </si>
  <si>
    <t>Kansas City</t>
  </si>
  <si>
    <t>Shawn Nguyen</t>
  </si>
  <si>
    <t>Monitor Stand</t>
  </si>
  <si>
    <t>Wireless Keyboard</t>
  </si>
  <si>
    <t>Desk Mat</t>
  </si>
  <si>
    <t>Desk Calendar</t>
  </si>
  <si>
    <t>Document Holder</t>
  </si>
  <si>
    <t>Cable Management Kit</t>
  </si>
  <si>
    <t>Desk Fan</t>
  </si>
  <si>
    <t>Paper Shredder</t>
  </si>
  <si>
    <t>Label Maker</t>
  </si>
  <si>
    <t>Mesh Pencil Cup</t>
  </si>
  <si>
    <t>Presentation Clicker</t>
  </si>
  <si>
    <t>Anti-Fatigue Mat</t>
  </si>
  <si>
    <t>Desk Drawer Organizer</t>
  </si>
  <si>
    <t>Whiteboard Markers (12)</t>
  </si>
  <si>
    <t>Sales Amount</t>
  </si>
  <si>
    <t>Sales Date</t>
  </si>
  <si>
    <t>Product</t>
  </si>
  <si>
    <t>Sub-Product</t>
  </si>
  <si>
    <t>Customer Name</t>
  </si>
  <si>
    <t>Salesperson</t>
  </si>
  <si>
    <t>Quantity Sold</t>
  </si>
  <si>
    <t>Total Sales</t>
  </si>
  <si>
    <t>Unit Cost</t>
  </si>
  <si>
    <t>Cost of Goods Sold</t>
  </si>
  <si>
    <t>Shelf</t>
  </si>
  <si>
    <t>Medium</t>
  </si>
  <si>
    <t>Delta Group</t>
  </si>
  <si>
    <t>Markers</t>
  </si>
  <si>
    <t>Permanent</t>
  </si>
  <si>
    <t>Gamma Industries</t>
  </si>
  <si>
    <t>Fine-Tip</t>
  </si>
  <si>
    <t>Omega LLC</t>
  </si>
  <si>
    <t>Highlighters</t>
  </si>
  <si>
    <t>Pastel</t>
  </si>
  <si>
    <t>Tech Solutions</t>
  </si>
  <si>
    <t>Mini</t>
  </si>
  <si>
    <t>Table</t>
  </si>
  <si>
    <t>Rectangular</t>
  </si>
  <si>
    <t>Global Inc</t>
  </si>
  <si>
    <t>Mouse</t>
  </si>
  <si>
    <t>Wireless</t>
  </si>
  <si>
    <t>Sigma Partners</t>
  </si>
  <si>
    <t>Webcam</t>
  </si>
  <si>
    <t>720p</t>
  </si>
  <si>
    <t>Large</t>
  </si>
  <si>
    <t>Alpha Co</t>
  </si>
  <si>
    <t>Folder</t>
  </si>
  <si>
    <t>Hanging</t>
  </si>
  <si>
    <t>Pen Set</t>
  </si>
  <si>
    <t>Fountain</t>
  </si>
  <si>
    <t>Optical</t>
  </si>
  <si>
    <t>Binder</t>
  </si>
  <si>
    <t>1-inch</t>
  </si>
  <si>
    <t>Headphones</t>
  </si>
  <si>
    <t>Over-Ear</t>
  </si>
  <si>
    <t>Acme Corp</t>
  </si>
  <si>
    <t>External Drive</t>
  </si>
  <si>
    <t>2TB</t>
  </si>
  <si>
    <t>USB Hub</t>
  </si>
  <si>
    <t>7-Port</t>
  </si>
  <si>
    <t>Mouse Pad</t>
  </si>
  <si>
    <t>Multi-Color</t>
  </si>
  <si>
    <t>Prime Services</t>
  </si>
  <si>
    <t>Tape</t>
  </si>
  <si>
    <t>Clear</t>
  </si>
  <si>
    <t>Paper</t>
  </si>
  <si>
    <t>Chair</t>
  </si>
  <si>
    <t>Ergonomic</t>
  </si>
  <si>
    <t>Small</t>
  </si>
  <si>
    <t>Beta Ltd</t>
  </si>
  <si>
    <t>Gel</t>
  </si>
  <si>
    <t>Basic</t>
  </si>
  <si>
    <t>Cabinet</t>
  </si>
  <si>
    <t>Lateral</t>
  </si>
  <si>
    <t>Powered</t>
  </si>
  <si>
    <t>Monitor</t>
  </si>
  <si>
    <t>32-inch</t>
  </si>
  <si>
    <t>Keyboard</t>
  </si>
  <si>
    <t>Mechanical</t>
  </si>
  <si>
    <t>4K</t>
  </si>
  <si>
    <t>Pencils</t>
  </si>
  <si>
    <t>Laptop</t>
  </si>
  <si>
    <t>Pro</t>
  </si>
  <si>
    <t>Plastic</t>
  </si>
  <si>
    <t>Ballpoint</t>
  </si>
  <si>
    <t>Siti Aminah</t>
  </si>
  <si>
    <t>Aisha Binti Yusof</t>
  </si>
  <si>
    <t>Muhammad Hafiz</t>
  </si>
  <si>
    <t>Ahmad Rizal</t>
  </si>
  <si>
    <t>Priya Devi</t>
  </si>
  <si>
    <t>Raj Kumar</t>
  </si>
  <si>
    <t>Lee Chong Wei</t>
  </si>
  <si>
    <t>Tan Wei Ming</t>
  </si>
  <si>
    <t>Mohd Faizal</t>
  </si>
  <si>
    <t>Nurul Huda</t>
  </si>
  <si>
    <t>Branch</t>
  </si>
  <si>
    <t>Jan Deposits (RM ‘000)</t>
  </si>
  <si>
    <t>Feb Deposits (RM ‘000)</t>
  </si>
  <si>
    <t>Mar Deposits (RM ‘000)</t>
  </si>
  <si>
    <t>Apr Deposits (RM ‘000)</t>
  </si>
  <si>
    <t>May Deposits (RM ‘000)</t>
  </si>
  <si>
    <t>Jun Deposits (RM ‘000)</t>
  </si>
  <si>
    <t>Jul Deposits (RM ‘000)</t>
  </si>
  <si>
    <t>Aug Deposits (RM ‘000)</t>
  </si>
  <si>
    <t>Sep Deposits (RM ‘000)</t>
  </si>
  <si>
    <t>Oct Deposits (RM ‘000)</t>
  </si>
  <si>
    <t>Nov Deposits (RM ‘000)</t>
  </si>
  <si>
    <t>Dec Deposits (RM ‘000)</t>
  </si>
  <si>
    <t>KL Central</t>
  </si>
  <si>
    <t>Penang Main</t>
  </si>
  <si>
    <t>Johor Bahru</t>
  </si>
  <si>
    <t>Shah Alam</t>
  </si>
  <si>
    <t>Mid Valley</t>
  </si>
  <si>
    <t>Subang Jaya</t>
  </si>
  <si>
    <t>Cyberjaya</t>
  </si>
  <si>
    <t>Kota Damansara</t>
  </si>
  <si>
    <t>Ipoh Central</t>
  </si>
  <si>
    <t>Melaka Raya</t>
  </si>
  <si>
    <t>Kuching City</t>
  </si>
  <si>
    <t>Kota Kinabalu</t>
  </si>
  <si>
    <t>Seremban Gateway</t>
  </si>
  <si>
    <t>Putrajaya</t>
  </si>
  <si>
    <t>Batu Pahat</t>
  </si>
  <si>
    <t>Damansara Heights</t>
  </si>
  <si>
    <t>Amount (RM ‘000)</t>
  </si>
  <si>
    <t>Starting Profit</t>
  </si>
  <si>
    <t>Loan Interest Income</t>
  </si>
  <si>
    <t>Credit Card Revenue</t>
  </si>
  <si>
    <t>Investment Gains</t>
  </si>
  <si>
    <t>Operating Expenses</t>
  </si>
  <si>
    <t>Staff Salaries</t>
  </si>
  <si>
    <t>Loan Default Losses</t>
  </si>
  <si>
    <t>Regulatory Compliance Cost</t>
  </si>
  <si>
    <t>Foreign Exchange Gain</t>
  </si>
  <si>
    <t>Digital Banking Revenue</t>
  </si>
  <si>
    <t>Marketing Campaign Cost</t>
  </si>
  <si>
    <t>Final Profit</t>
  </si>
  <si>
    <t>Month</t>
  </si>
  <si>
    <t>Loan Revenue (RM ‘000)</t>
  </si>
  <si>
    <t>New Customers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</si>
  <si>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</si>
  <si>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</si>
  <si>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</si>
  <si>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</si>
  <si>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</si>
  <si>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</si>
  <si>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</si>
  <si>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</si>
  <si>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</si>
  <si>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</si>
  <si>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</si>
  <si>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</si>
  <si>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Credit Card Revenue (RM ‘000)</t>
  </si>
  <si>
    <t>PRD-10458</t>
  </si>
  <si>
    <t>PRD-28741</t>
  </si>
  <si>
    <t>PRD-39126</t>
  </si>
  <si>
    <t>PRD-45097</t>
  </si>
  <si>
    <t>PRD-58213</t>
  </si>
  <si>
    <t>PRD-61429</t>
  </si>
  <si>
    <t>PRD-72835</t>
  </si>
  <si>
    <t>PRD-83614</t>
  </si>
  <si>
    <t>PRD-94720</t>
  </si>
  <si>
    <t>PRD-10573</t>
  </si>
  <si>
    <t>PRD-21984</t>
  </si>
  <si>
    <t>PRD-33467</t>
  </si>
  <si>
    <t>PRD-44892</t>
  </si>
  <si>
    <t>PRD-56318</t>
  </si>
  <si>
    <t>PRD-67925</t>
  </si>
  <si>
    <t>PRD-78431</t>
  </si>
  <si>
    <t>PRD-89246</t>
  </si>
  <si>
    <t>PRD-91357</t>
  </si>
  <si>
    <t>PRD-12648</t>
  </si>
  <si>
    <t>PRD-23875</t>
  </si>
  <si>
    <t>PRD-34791</t>
  </si>
  <si>
    <t>PRD-45903</t>
  </si>
  <si>
    <t>PRD-56472</t>
  </si>
  <si>
    <t>PRD-67814</t>
  </si>
  <si>
    <t>PRD-78156</t>
  </si>
  <si>
    <t>PRD-89420</t>
  </si>
  <si>
    <t>PRD-90561</t>
  </si>
  <si>
    <t>PRD-11739</t>
  </si>
  <si>
    <t>PRD-22846</t>
  </si>
  <si>
    <t>PRD-33985</t>
  </si>
  <si>
    <t>PRD-44172</t>
  </si>
  <si>
    <t>PRD-55684</t>
  </si>
  <si>
    <t>PRD-66791</t>
  </si>
  <si>
    <t>PRD-77208</t>
  </si>
  <si>
    <t>PRD-88345</t>
  </si>
  <si>
    <t>PRD-99416</t>
  </si>
  <si>
    <t>PRD-13527</t>
  </si>
  <si>
    <t>PRD-24690</t>
  </si>
  <si>
    <t>PRD-35814</t>
  </si>
  <si>
    <t>PRD-46925</t>
  </si>
  <si>
    <t>PRD-57138</t>
  </si>
  <si>
    <t>PRD-68249</t>
  </si>
  <si>
    <t>PRD-79351</t>
  </si>
  <si>
    <t>PRD-80462</t>
  </si>
  <si>
    <t>PRD-91574</t>
  </si>
  <si>
    <t>ORD-10001</t>
  </si>
  <si>
    <t>ORD-10002</t>
  </si>
  <si>
    <t>ORD-10003</t>
  </si>
  <si>
    <t>ORD-10004</t>
  </si>
  <si>
    <t>ORD-10005</t>
  </si>
  <si>
    <t>ORD-10006</t>
  </si>
  <si>
    <t>ORD-10007</t>
  </si>
  <si>
    <t>ORD-10008</t>
  </si>
  <si>
    <t>ORD-10009</t>
  </si>
  <si>
    <t>ORD-10010</t>
  </si>
  <si>
    <t>ORD-10011</t>
  </si>
  <si>
    <t>ORD-10012</t>
  </si>
  <si>
    <t>ORD-10013</t>
  </si>
  <si>
    <t>ORD-10014</t>
  </si>
  <si>
    <t>ORD-10015</t>
  </si>
  <si>
    <t>ORD-10016</t>
  </si>
  <si>
    <t>ORD-10017</t>
  </si>
  <si>
    <t>ORD-10018</t>
  </si>
  <si>
    <t>ORD-10019</t>
  </si>
  <si>
    <t>ORD-10020</t>
  </si>
  <si>
    <t>ORD-10021</t>
  </si>
  <si>
    <t>ORD-10022</t>
  </si>
  <si>
    <t>ORD-10023</t>
  </si>
  <si>
    <t>ORD-10024</t>
  </si>
  <si>
    <t>ORD-10025</t>
  </si>
  <si>
    <t>ORD-10026</t>
  </si>
  <si>
    <t>ORD-10027</t>
  </si>
  <si>
    <t>ORD-10028</t>
  </si>
  <si>
    <t>ORD-10029</t>
  </si>
  <si>
    <t>ORD-10030</t>
  </si>
  <si>
    <t>ORD-10031</t>
  </si>
  <si>
    <t>ORD-10032</t>
  </si>
  <si>
    <t>ORD-10033</t>
  </si>
  <si>
    <t>ORD-10034</t>
  </si>
  <si>
    <t>ORD-10035</t>
  </si>
  <si>
    <t>ORD-10036</t>
  </si>
  <si>
    <t>ORD-10037</t>
  </si>
  <si>
    <t>ORD-10038</t>
  </si>
  <si>
    <t>ORD-10039</t>
  </si>
  <si>
    <t>ORD-10040</t>
  </si>
  <si>
    <t>ORD-10041</t>
  </si>
  <si>
    <t>ORD-10042</t>
  </si>
  <si>
    <t>ORD-10043</t>
  </si>
  <si>
    <t>ORD-10044</t>
  </si>
  <si>
    <t>ORD-10045</t>
  </si>
  <si>
    <t>ORD-10046</t>
  </si>
  <si>
    <t>ORD-10047</t>
  </si>
  <si>
    <t>ORD-10048</t>
  </si>
  <si>
    <t>ORD-10049</t>
  </si>
  <si>
    <t>ORD-10050</t>
  </si>
  <si>
    <t>ORD-10051</t>
  </si>
  <si>
    <t>ORD-10052</t>
  </si>
  <si>
    <t>ORD-10053</t>
  </si>
  <si>
    <t>ORD-10054</t>
  </si>
  <si>
    <t>ORD-10055</t>
  </si>
  <si>
    <t>ORD-10056</t>
  </si>
  <si>
    <t>ORD-10057</t>
  </si>
  <si>
    <t>ORD-10058</t>
  </si>
  <si>
    <t>ORD-10059</t>
  </si>
  <si>
    <t>ORD-10060</t>
  </si>
  <si>
    <t>ORD-10061</t>
  </si>
  <si>
    <t>ORD-10062</t>
  </si>
  <si>
    <t>ORD-10063</t>
  </si>
  <si>
    <t>ORD-10064</t>
  </si>
  <si>
    <t>ORD-10065</t>
  </si>
  <si>
    <t>ORD-10066</t>
  </si>
  <si>
    <t>ORD-10067</t>
  </si>
  <si>
    <t>ORD-10068</t>
  </si>
  <si>
    <t>ORD-10069</t>
  </si>
  <si>
    <t>ORD-10070</t>
  </si>
  <si>
    <t>ORD-10071</t>
  </si>
  <si>
    <t>ORD-10072</t>
  </si>
  <si>
    <t>ORD-10073</t>
  </si>
  <si>
    <t>ORD-10074</t>
  </si>
  <si>
    <t>ORD-10075</t>
  </si>
  <si>
    <t>ORD-10076</t>
  </si>
  <si>
    <t>ORD-10077</t>
  </si>
  <si>
    <t>ORD-10078</t>
  </si>
  <si>
    <t>ORD-10079</t>
  </si>
  <si>
    <t>ORD-10080</t>
  </si>
  <si>
    <t>ORD-10081</t>
  </si>
  <si>
    <t>ORD-10082</t>
  </si>
  <si>
    <t>ORD-10083</t>
  </si>
  <si>
    <t>ORD-10084</t>
  </si>
  <si>
    <t>ORD-10085</t>
  </si>
  <si>
    <t>ORD-10086</t>
  </si>
  <si>
    <t>ORD-10087</t>
  </si>
  <si>
    <t>ORD-10088</t>
  </si>
  <si>
    <t>ORD-10089</t>
  </si>
  <si>
    <t>ORD-10090</t>
  </si>
  <si>
    <t>ORD-10091</t>
  </si>
  <si>
    <t>ORD-10092</t>
  </si>
  <si>
    <t>ORD-10093</t>
  </si>
  <si>
    <t>ORD-10094</t>
  </si>
  <si>
    <t>ORD-10095</t>
  </si>
  <si>
    <t>ORD-10096</t>
  </si>
  <si>
    <t>ORD-10097</t>
  </si>
  <si>
    <t>ORD-10098</t>
  </si>
  <si>
    <t>ORD-10099</t>
  </si>
  <si>
    <t>ORD-10100</t>
  </si>
  <si>
    <t>Desk Mat (Large)</t>
  </si>
  <si>
    <t>SR-1024</t>
  </si>
  <si>
    <t>SR-1187</t>
  </si>
  <si>
    <t>SR-1245</t>
  </si>
  <si>
    <t>SR-1312</t>
  </si>
  <si>
    <t>SR-1458</t>
  </si>
  <si>
    <t>SR-1539</t>
  </si>
  <si>
    <t>SR-1674</t>
  </si>
  <si>
    <t>SR-1721</t>
  </si>
  <si>
    <t>SR-1843</t>
  </si>
  <si>
    <t>SR-1965</t>
  </si>
  <si>
    <t>SR-2038</t>
  </si>
  <si>
    <t>SR-2176</t>
  </si>
  <si>
    <t>SR-2284</t>
  </si>
  <si>
    <t>SR-2391</t>
  </si>
  <si>
    <t>SR-2457</t>
  </si>
  <si>
    <t>SR-2589</t>
  </si>
  <si>
    <t>SR-2643</t>
  </si>
  <si>
    <t>SR-2798</t>
  </si>
  <si>
    <t>SR-2835</t>
  </si>
  <si>
    <t>SR-2971</t>
  </si>
  <si>
    <t>SR-3046</t>
  </si>
  <si>
    <t>SR-3182</t>
  </si>
  <si>
    <t>SR-3295</t>
  </si>
  <si>
    <t>SR-3378</t>
  </si>
  <si>
    <t>SR-3491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</si>
</sst>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2" fillId="0" borderId="0" xfId="0" applyFont="1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164" fontId="3" fillId="0" borderId="0" xfId="0" applyNumberFormat="1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right" vertical="center" wrapText="1"/>
    </xf>
    <xf numFmtId="49" fontId="2" fillId="0" borderId="0" xfId="0" applyNumberFormat="1" applyFont="1" applyFill="1" applyBorder="1" applyAlignment="1">
      <alignment horizontal="center" vertical="center" wrapText="1"/>
    </xf>
    <xf numFmtId="14" fontId="3" fillId="0" borderId="0" xfId="0" applyNumberFormat="1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right" vertical="center" wrapText="1"/>
    </xf>
    <xf numFmtId="2" fontId="3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opLeftCell="A92" workbookViewId="0">
      <selection activeCell="A101" sqref="A1:J101"/>
    </sheetView>
  </sheetViews>
  <sheetFormatPr defaultRowHeight="14.5" x14ac:dyDescent="0.35"/>
  <cols>
    <col min="1" max="1" width="9.453125" bestFit="1" customWidth="1"/>
    <col min="2" max="2" width="10.54296875" bestFit="1" customWidth="1"/>
    <col min="3" max="3" width="11.7265625" customWidth="1"/>
    <col min="4" max="4" width="10.1796875" customWidth="1"/>
    <col min="5" max="5" width="12.90625" customWidth="1"/>
    <col min="6" max="6" width="25.36328125" bestFit="1" customWidth="1"/>
    <col min="7" max="7" width="19.36328125" bestFit="1" customWidth="1"/>
    <col min="8" max="8" width="10.90625" customWidth="1"/>
    <col min="9" max="9" width="14.26953125" customWidth="1"/>
    <col min="10" max="10" width="13.1796875" bestFit="1" customWidth="1"/>
  </cols>
  <sheetData>
    <row r="1" spans="1:10" x14ac:dyDescent="0.35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0" t="s">
        <v>5</v>
      </c>
      <c r="G1" s="10" t="s">
        <v>6</v>
      </c>
      <c r="H1" s="10" t="s">
        <v>7</v>
      </c>
      <c r="I1" s="10" t="s">
        <v>104</v>
      </c>
      <c r="J1" s="10" t="s">
        <v>43</v>
      </c>
    </row>
    <row r="2" spans="1:10" x14ac:dyDescent="0.35">
      <c r="A2" s="13">
        <v>45292</v>
      </c>
      <c r="B2" s="14" t="s">
        <v>288</v>
      </c>
      <c r="C2" s="14" t="s">
        <v>243</v>
      </c>
      <c r="D2" s="15">
        <v>9</v>
      </c>
      <c r="E2" s="14" t="s">
        <v>389</v>
      </c>
      <c r="F2" s="8" t="str">
        <f>_xlfn.XLOOKUP(C2,Product!$A$2:$A$46,Product!$B$2:$B$46,0)</f>
        <v>Stapler</v>
      </c>
      <c r="G2" s="8" t="str">
        <f>_xlfn.XLOOKUP(C2,Product!$A$2:$A$46,Product!$C$2:$C$46,0)</f>
        <v>Office Supplies</v>
      </c>
      <c r="H2" s="9">
        <f>VLOOKUP(C2,Product!A:D,4,FALSE)</f>
        <v>47.45</v>
      </c>
      <c r="I2" s="9">
        <f>H2*D2</f>
        <v>427.05</v>
      </c>
      <c r="J2" s="8" t="str">
        <f>_xlfn.XLOOKUP(E2,SalesRep!$A$2:$A$26,SalesRep!$B$2:$B$26,0)</f>
        <v>Rowan Anderson</v>
      </c>
    </row>
    <row r="3" spans="1:10" x14ac:dyDescent="0.35">
      <c r="A3" s="13">
        <v>45292</v>
      </c>
      <c r="B3" s="14" t="s">
        <v>289</v>
      </c>
      <c r="C3" s="14" t="s">
        <v>244</v>
      </c>
      <c r="D3" s="15">
        <v>2</v>
      </c>
      <c r="E3" s="14" t="s">
        <v>390</v>
      </c>
      <c r="F3" s="8" t="str">
        <f>_xlfn.XLOOKUP(C3,Product!$A$2:$A$46,Product!$B$2:$B$46,0)</f>
        <v>Paper Clips (100pc)</v>
      </c>
      <c r="G3" s="8" t="str">
        <f>_xlfn.XLOOKUP(C3,Product!$A$2:$A$46,Product!$C$2:$C$46,0)</f>
        <v>Office Supplies</v>
      </c>
      <c r="H3" s="9">
        <f>VLOOKUP(C3,Product!A:D,4,FALSE)</f>
        <v>114.28</v>
      </c>
      <c r="I3" s="9">
        <f t="shared" ref="I3:I32" si="0">H3*D3</f>
        <v>228.56</v>
      </c>
      <c r="J3" s="8" t="str">
        <f>_xlfn.XLOOKUP(E3,SalesRep!$A$2:$A$26,SalesRep!$B$2:$B$26,0)</f>
        <v>Avery Torres</v>
      </c>
    </row>
    <row r="4" spans="1:10" x14ac:dyDescent="0.35">
      <c r="A4" s="13">
        <v>45292</v>
      </c>
      <c r="B4" s="14" t="s">
        <v>290</v>
      </c>
      <c r="C4" s="14" t="s">
        <v>245</v>
      </c>
      <c r="D4" s="15">
        <v>10</v>
      </c>
      <c r="E4" s="14" t="s">
        <v>391</v>
      </c>
      <c r="F4" s="8" t="str">
        <f>_xlfn.XLOOKUP(C4,Product!$A$2:$A$46,Product!$B$2:$B$46,0)</f>
        <v>Desk Organizer</v>
      </c>
      <c r="G4" s="8" t="str">
        <f>_xlfn.XLOOKUP(C4,Product!$A$2:$A$46,Product!$C$2:$C$46,0)</f>
        <v>Office Supplies</v>
      </c>
      <c r="H4" s="9">
        <f>VLOOKUP(C4,Product!A:D,4,FALSE)</f>
        <v>88.91</v>
      </c>
      <c r="I4" s="9">
        <f t="shared" si="0"/>
        <v>889.09999999999991</v>
      </c>
      <c r="J4" s="8" t="str">
        <f>_xlfn.XLOOKUP(E4,SalesRep!$A$2:$A$26,SalesRep!$B$2:$B$26,0)</f>
        <v>Peyton Smith</v>
      </c>
    </row>
    <row r="5" spans="1:10" x14ac:dyDescent="0.35">
      <c r="A5" s="13">
        <v>45292</v>
      </c>
      <c r="B5" s="14" t="s">
        <v>291</v>
      </c>
      <c r="C5" s="14" t="s">
        <v>246</v>
      </c>
      <c r="D5" s="15">
        <v>6</v>
      </c>
      <c r="E5" s="14" t="s">
        <v>392</v>
      </c>
      <c r="F5" s="8" t="str">
        <f>_xlfn.XLOOKUP(C5,Product!$A$2:$A$46,Product!$B$2:$B$46,0)</f>
        <v>Whiteboard</v>
      </c>
      <c r="G5" s="8" t="str">
        <f>_xlfn.XLOOKUP(C5,Product!$A$2:$A$46,Product!$C$2:$C$46,0)</f>
        <v>Office Supplies</v>
      </c>
      <c r="H5" s="9">
        <f>VLOOKUP(C5,Product!A:D,4,FALSE)</f>
        <v>73.44</v>
      </c>
      <c r="I5" s="9">
        <f t="shared" si="0"/>
        <v>440.64</v>
      </c>
      <c r="J5" s="8" t="str">
        <f>_xlfn.XLOOKUP(E5,SalesRep!$A$2:$A$26,SalesRep!$B$2:$B$26,0)</f>
        <v>Finley Wright</v>
      </c>
    </row>
    <row r="6" spans="1:10" x14ac:dyDescent="0.35">
      <c r="A6" s="13">
        <v>45292</v>
      </c>
      <c r="B6" s="14" t="s">
        <v>292</v>
      </c>
      <c r="C6" s="14" t="s">
        <v>247</v>
      </c>
      <c r="D6" s="15">
        <v>10</v>
      </c>
      <c r="E6" s="14" t="s">
        <v>393</v>
      </c>
      <c r="F6" s="8" t="str">
        <f>_xlfn.XLOOKUP(C6,Product!$A$2:$A$46,Product!$B$2:$B$46,0)</f>
        <v>Hole Punch</v>
      </c>
      <c r="G6" s="8" t="str">
        <f>_xlfn.XLOOKUP(C6,Product!$A$2:$A$46,Product!$C$2:$C$46,0)</f>
        <v>Office Supplies</v>
      </c>
      <c r="H6" s="9">
        <f>VLOOKUP(C6,Product!A:D,4,FALSE)</f>
        <v>22.1</v>
      </c>
      <c r="I6" s="9">
        <f t="shared" si="0"/>
        <v>221</v>
      </c>
      <c r="J6" s="8" t="str">
        <f>_xlfn.XLOOKUP(E6,SalesRep!$A$2:$A$26,SalesRep!$B$2:$B$26,0)</f>
        <v>Peyton Nguyen</v>
      </c>
    </row>
    <row r="7" spans="1:10" x14ac:dyDescent="0.35">
      <c r="A7" s="13">
        <v>45292</v>
      </c>
      <c r="B7" s="14" t="s">
        <v>293</v>
      </c>
      <c r="C7" s="14" t="s">
        <v>248</v>
      </c>
      <c r="D7" s="15">
        <v>4</v>
      </c>
      <c r="E7" s="14" t="s">
        <v>394</v>
      </c>
      <c r="F7" s="8" t="str">
        <f>_xlfn.XLOOKUP(C7,Product!$A$2:$A$46,Product!$B$2:$B$46,0)</f>
        <v>Scissors</v>
      </c>
      <c r="G7" s="8" t="str">
        <f>_xlfn.XLOOKUP(C7,Product!$A$2:$A$46,Product!$C$2:$C$46,0)</f>
        <v>Office Supplies</v>
      </c>
      <c r="H7" s="9">
        <f>VLOOKUP(C7,Product!A:D,4,FALSE)</f>
        <v>22.1</v>
      </c>
      <c r="I7" s="9">
        <f t="shared" si="0"/>
        <v>88.4</v>
      </c>
      <c r="J7" s="8" t="str">
        <f>_xlfn.XLOOKUP(E7,SalesRep!$A$2:$A$26,SalesRep!$B$2:$B$26,0)</f>
        <v>Finley Anderson</v>
      </c>
    </row>
    <row r="8" spans="1:10" x14ac:dyDescent="0.35">
      <c r="A8" s="13">
        <v>45292</v>
      </c>
      <c r="B8" s="14" t="s">
        <v>294</v>
      </c>
      <c r="C8" s="14" t="s">
        <v>249</v>
      </c>
      <c r="D8" s="15">
        <v>3</v>
      </c>
      <c r="E8" s="14" t="s">
        <v>395</v>
      </c>
      <c r="F8" s="8" t="str">
        <f>_xlfn.XLOOKUP(C8,Product!$A$2:$A$46,Product!$B$2:$B$46,0)</f>
        <v>Wireless Mouse</v>
      </c>
      <c r="G8" s="8" t="str">
        <f>_xlfn.XLOOKUP(C8,Product!$A$2:$A$46,Product!$C$2:$C$46,0)</f>
        <v>Electronics</v>
      </c>
      <c r="H8" s="9">
        <f>VLOOKUP(C8,Product!A:D,4,FALSE)</f>
        <v>10.74</v>
      </c>
      <c r="I8" s="9">
        <f t="shared" si="0"/>
        <v>32.22</v>
      </c>
      <c r="J8" s="8" t="str">
        <f>_xlfn.XLOOKUP(E8,SalesRep!$A$2:$A$26,SalesRep!$B$2:$B$26,0)</f>
        <v>Peyton Wright</v>
      </c>
    </row>
    <row r="9" spans="1:10" x14ac:dyDescent="0.35">
      <c r="A9" s="13">
        <v>45323</v>
      </c>
      <c r="B9" s="14" t="s">
        <v>295</v>
      </c>
      <c r="C9" s="14" t="s">
        <v>250</v>
      </c>
      <c r="D9" s="15">
        <v>6</v>
      </c>
      <c r="E9" s="14" t="s">
        <v>396</v>
      </c>
      <c r="F9" s="8" t="str">
        <f>_xlfn.XLOOKUP(C9,Product!$A$2:$A$46,Product!$B$2:$B$46,0)</f>
        <v>USB-C Hub</v>
      </c>
      <c r="G9" s="8" t="str">
        <f>_xlfn.XLOOKUP(C9,Product!$A$2:$A$46,Product!$C$2:$C$46,0)</f>
        <v>Electronics</v>
      </c>
      <c r="H9" s="9">
        <f>VLOOKUP(C9,Product!A:D,4,FALSE)</f>
        <v>104.48</v>
      </c>
      <c r="I9" s="9">
        <f t="shared" si="0"/>
        <v>626.88</v>
      </c>
      <c r="J9" s="8" t="str">
        <f>_xlfn.XLOOKUP(E9,SalesRep!$A$2:$A$26,SalesRep!$B$2:$B$26,0)</f>
        <v>Marley Torres</v>
      </c>
    </row>
    <row r="10" spans="1:10" x14ac:dyDescent="0.35">
      <c r="A10" s="13">
        <v>45323</v>
      </c>
      <c r="B10" s="14" t="s">
        <v>296</v>
      </c>
      <c r="C10" s="14" t="s">
        <v>251</v>
      </c>
      <c r="D10" s="15">
        <v>10</v>
      </c>
      <c r="E10" s="14" t="s">
        <v>397</v>
      </c>
      <c r="F10" s="8" t="str">
        <f>_xlfn.XLOOKUP(C10,Product!$A$2:$A$46,Product!$B$2:$B$46,0)</f>
        <v>Portable Projector</v>
      </c>
      <c r="G10" s="8" t="str">
        <f>_xlfn.XLOOKUP(C10,Product!$A$2:$A$46,Product!$C$2:$C$46,0)</f>
        <v>Electronics</v>
      </c>
      <c r="H10" s="9">
        <f>VLOOKUP(C10,Product!A:D,4,FALSE)</f>
        <v>73.73</v>
      </c>
      <c r="I10" s="9">
        <f t="shared" si="0"/>
        <v>737.30000000000007</v>
      </c>
      <c r="J10" s="8" t="str">
        <f>_xlfn.XLOOKUP(E10,SalesRep!$A$2:$A$26,SalesRep!$B$2:$B$26,0)</f>
        <v>Hayden Johnson</v>
      </c>
    </row>
    <row r="11" spans="1:10" x14ac:dyDescent="0.35">
      <c r="A11" s="13">
        <v>45323</v>
      </c>
      <c r="B11" s="14" t="s">
        <v>297</v>
      </c>
      <c r="C11" s="14" t="s">
        <v>252</v>
      </c>
      <c r="D11" s="15">
        <v>9</v>
      </c>
      <c r="E11" s="14" t="s">
        <v>398</v>
      </c>
      <c r="F11" s="8" t="str">
        <f>_xlfn.XLOOKUP(C11,Product!$A$2:$A$46,Product!$B$2:$B$46,0)</f>
        <v>Noise-Canceling Headphones</v>
      </c>
      <c r="G11" s="8" t="str">
        <f>_xlfn.XLOOKUP(C11,Product!$A$2:$A$46,Product!$C$2:$C$46,0)</f>
        <v>Electronics</v>
      </c>
      <c r="H11" s="9">
        <f>VLOOKUP(C11,Product!A:D,4,FALSE)</f>
        <v>86.14</v>
      </c>
      <c r="I11" s="9">
        <f t="shared" si="0"/>
        <v>775.26</v>
      </c>
      <c r="J11" s="8" t="str">
        <f>_xlfn.XLOOKUP(E11,SalesRep!$A$2:$A$26,SalesRep!$B$2:$B$26,0)</f>
        <v>Finley Garcia</v>
      </c>
    </row>
    <row r="12" spans="1:10" x14ac:dyDescent="0.35">
      <c r="A12" s="13">
        <v>45352</v>
      </c>
      <c r="B12" s="14" t="s">
        <v>298</v>
      </c>
      <c r="C12" s="14" t="s">
        <v>253</v>
      </c>
      <c r="D12" s="15">
        <v>4</v>
      </c>
      <c r="E12" s="14" t="s">
        <v>399</v>
      </c>
      <c r="F12" s="8" t="str">
        <f>_xlfn.XLOOKUP(C12,Product!$A$2:$A$46,Product!$B$2:$B$46,0)</f>
        <v>Webcam 1080p</v>
      </c>
      <c r="G12" s="8" t="str">
        <f>_xlfn.XLOOKUP(C12,Product!$A$2:$A$46,Product!$C$2:$C$46,0)</f>
        <v>Electronics</v>
      </c>
      <c r="H12" s="9">
        <f>VLOOKUP(C12,Product!A:D,4,FALSE)</f>
        <v>6.39</v>
      </c>
      <c r="I12" s="9">
        <f t="shared" si="0"/>
        <v>25.56</v>
      </c>
      <c r="J12" s="8" t="str">
        <f>_xlfn.XLOOKUP(E12,SalesRep!$A$2:$A$26,SalesRep!$B$2:$B$26,0)</f>
        <v>Drew Thomas</v>
      </c>
    </row>
    <row r="13" spans="1:10" x14ac:dyDescent="0.35">
      <c r="A13" s="13">
        <v>45352</v>
      </c>
      <c r="B13" s="14" t="s">
        <v>299</v>
      </c>
      <c r="C13" s="14" t="s">
        <v>254</v>
      </c>
      <c r="D13" s="15">
        <v>10</v>
      </c>
      <c r="E13" s="14" t="s">
        <v>400</v>
      </c>
      <c r="F13" s="8" t="str">
        <f>_xlfn.XLOOKUP(C13,Product!$A$2:$A$46,Product!$B$2:$B$46,0)</f>
        <v>Bluetooth Speaker</v>
      </c>
      <c r="G13" s="8" t="str">
        <f>_xlfn.XLOOKUP(C13,Product!$A$2:$A$46,Product!$C$2:$C$46,0)</f>
        <v>Electronics</v>
      </c>
      <c r="H13" s="9">
        <f>VLOOKUP(C13,Product!A:D,4,FALSE)</f>
        <v>116.51</v>
      </c>
      <c r="I13" s="9">
        <f t="shared" si="0"/>
        <v>1165.1000000000001</v>
      </c>
      <c r="J13" s="8" t="str">
        <f>_xlfn.XLOOKUP(E13,SalesRep!$A$2:$A$26,SalesRep!$B$2:$B$26,0)</f>
        <v>Jules Wilson</v>
      </c>
    </row>
    <row r="14" spans="1:10" x14ac:dyDescent="0.35">
      <c r="A14" s="13">
        <v>45383</v>
      </c>
      <c r="B14" s="14" t="s">
        <v>300</v>
      </c>
      <c r="C14" s="14" t="s">
        <v>255</v>
      </c>
      <c r="D14" s="15">
        <v>3</v>
      </c>
      <c r="E14" s="14" t="s">
        <v>401</v>
      </c>
      <c r="F14" s="8" t="str">
        <f>_xlfn.XLOOKUP(C14,Product!$A$2:$A$46,Product!$B$2:$B$46,0)</f>
        <v>Ergonomic Chair</v>
      </c>
      <c r="G14" s="8" t="str">
        <f>_xlfn.XLOOKUP(C14,Product!$A$2:$A$46,Product!$C$2:$C$46,0)</f>
        <v>Furniture</v>
      </c>
      <c r="H14" s="9">
        <f>VLOOKUP(C14,Product!A:D,4,FALSE)</f>
        <v>100.56</v>
      </c>
      <c r="I14" s="9">
        <f t="shared" si="0"/>
        <v>301.68</v>
      </c>
      <c r="J14" s="8" t="str">
        <f>_xlfn.XLOOKUP(E14,SalesRep!$A$2:$A$26,SalesRep!$B$2:$B$26,0)</f>
        <v>Finley Harris</v>
      </c>
    </row>
    <row r="15" spans="1:10" x14ac:dyDescent="0.35">
      <c r="A15" s="13">
        <v>45383</v>
      </c>
      <c r="B15" s="14" t="s">
        <v>301</v>
      </c>
      <c r="C15" s="14" t="s">
        <v>256</v>
      </c>
      <c r="D15" s="15">
        <v>3</v>
      </c>
      <c r="E15" s="14" t="s">
        <v>402</v>
      </c>
      <c r="F15" s="8" t="str">
        <f>_xlfn.XLOOKUP(C15,Product!$A$2:$A$46,Product!$B$2:$B$46,0)</f>
        <v>Standing Desk</v>
      </c>
      <c r="G15" s="8" t="str">
        <f>_xlfn.XLOOKUP(C15,Product!$A$2:$A$46,Product!$C$2:$C$46,0)</f>
        <v>Furniture</v>
      </c>
      <c r="H15" s="9">
        <f>VLOOKUP(C15,Product!A:D,4,FALSE)</f>
        <v>28.63</v>
      </c>
      <c r="I15" s="9">
        <f t="shared" si="0"/>
        <v>85.89</v>
      </c>
      <c r="J15" s="8" t="str">
        <f>_xlfn.XLOOKUP(E15,SalesRep!$A$2:$A$26,SalesRep!$B$2:$B$26,0)</f>
        <v>Avery Smith</v>
      </c>
    </row>
    <row r="16" spans="1:10" x14ac:dyDescent="0.35">
      <c r="A16" s="13">
        <v>45383</v>
      </c>
      <c r="B16" s="14" t="s">
        <v>302</v>
      </c>
      <c r="C16" s="14" t="s">
        <v>257</v>
      </c>
      <c r="D16" s="15">
        <v>6</v>
      </c>
      <c r="E16" s="14" t="s">
        <v>403</v>
      </c>
      <c r="F16" s="8" t="str">
        <f>_xlfn.XLOOKUP(C16,Product!$A$2:$A$46,Product!$B$2:$B$46,0)</f>
        <v>Filing Cabinet</v>
      </c>
      <c r="G16" s="8" t="str">
        <f>_xlfn.XLOOKUP(C16,Product!$A$2:$A$46,Product!$C$2:$C$46,0)</f>
        <v>Furniture</v>
      </c>
      <c r="H16" s="9">
        <f>VLOOKUP(C16,Product!A:D,4,FALSE)</f>
        <v>25.09</v>
      </c>
      <c r="I16" s="9">
        <f t="shared" si="0"/>
        <v>150.54</v>
      </c>
      <c r="J16" s="8" t="str">
        <f>_xlfn.XLOOKUP(E16,SalesRep!$A$2:$A$26,SalesRep!$B$2:$B$26,0)</f>
        <v>Riley Harris</v>
      </c>
    </row>
    <row r="17" spans="1:10" x14ac:dyDescent="0.35">
      <c r="A17" s="13">
        <v>45413</v>
      </c>
      <c r="B17" s="14" t="s">
        <v>303</v>
      </c>
      <c r="C17" s="14" t="s">
        <v>258</v>
      </c>
      <c r="D17" s="15">
        <v>9</v>
      </c>
      <c r="E17" s="14" t="s">
        <v>404</v>
      </c>
      <c r="F17" s="8" t="str">
        <f>_xlfn.XLOOKUP(C17,Product!$A$2:$A$46,Product!$B$2:$B$46,0)</f>
        <v>Bookshelf</v>
      </c>
      <c r="G17" s="8" t="str">
        <f>_xlfn.XLOOKUP(C17,Product!$A$2:$A$46,Product!$C$2:$C$46,0)</f>
        <v>Furniture</v>
      </c>
      <c r="H17" s="9">
        <f>VLOOKUP(C17,Product!A:D,4,FALSE)</f>
        <v>25.27</v>
      </c>
      <c r="I17" s="9">
        <f t="shared" si="0"/>
        <v>227.43</v>
      </c>
      <c r="J17" s="8" t="str">
        <f>_xlfn.XLOOKUP(E17,SalesRep!$A$2:$A$26,SalesRep!$B$2:$B$26,0)</f>
        <v>Reese Smith</v>
      </c>
    </row>
    <row r="18" spans="1:10" x14ac:dyDescent="0.35">
      <c r="A18" s="13">
        <v>45413</v>
      </c>
      <c r="B18" s="14" t="s">
        <v>304</v>
      </c>
      <c r="C18" s="14" t="s">
        <v>259</v>
      </c>
      <c r="D18" s="15">
        <v>5</v>
      </c>
      <c r="E18" s="14" t="s">
        <v>405</v>
      </c>
      <c r="F18" s="8" t="str">
        <f>_xlfn.XLOOKUP(C18,Product!$A$2:$A$46,Product!$B$2:$B$46,0)</f>
        <v>Footrest</v>
      </c>
      <c r="G18" s="8" t="str">
        <f>_xlfn.XLOOKUP(C18,Product!$A$2:$A$46,Product!$C$2:$C$46,0)</f>
        <v>Furniture</v>
      </c>
      <c r="H18" s="9">
        <f>VLOOKUP(C18,Product!A:D,4,FALSE)</f>
        <v>39.29</v>
      </c>
      <c r="I18" s="9">
        <f t="shared" si="0"/>
        <v>196.45</v>
      </c>
      <c r="J18" s="8" t="str">
        <f>_xlfn.XLOOKUP(E18,SalesRep!$A$2:$A$26,SalesRep!$B$2:$B$26,0)</f>
        <v>Elliot Garcia</v>
      </c>
    </row>
    <row r="19" spans="1:10" x14ac:dyDescent="0.35">
      <c r="A19" s="13">
        <v>45413</v>
      </c>
      <c r="B19" s="14" t="s">
        <v>305</v>
      </c>
      <c r="C19" s="14" t="s">
        <v>260</v>
      </c>
      <c r="D19" s="15">
        <v>3</v>
      </c>
      <c r="E19" s="14" t="s">
        <v>406</v>
      </c>
      <c r="F19" s="8" t="str">
        <f>_xlfn.XLOOKUP(C19,Product!$A$2:$A$46,Product!$B$2:$B$46,0)</f>
        <v>Desk Lamp</v>
      </c>
      <c r="G19" s="8" t="str">
        <f>_xlfn.XLOOKUP(C19,Product!$A$2:$A$46,Product!$C$2:$C$46,0)</f>
        <v>Furniture</v>
      </c>
      <c r="H19" s="9">
        <f>VLOOKUP(C19,Product!A:D,4,FALSE)</f>
        <v>64.87</v>
      </c>
      <c r="I19" s="9">
        <f t="shared" si="0"/>
        <v>194.61</v>
      </c>
      <c r="J19" s="8" t="str">
        <f>_xlfn.XLOOKUP(E19,SalesRep!$A$2:$A$26,SalesRep!$B$2:$B$26,0)</f>
        <v>Skyler Green</v>
      </c>
    </row>
    <row r="20" spans="1:10" x14ac:dyDescent="0.35">
      <c r="A20" s="13">
        <v>45474</v>
      </c>
      <c r="B20" s="14" t="s">
        <v>306</v>
      </c>
      <c r="C20" s="14" t="s">
        <v>261</v>
      </c>
      <c r="D20" s="15">
        <v>7</v>
      </c>
      <c r="E20" s="14" t="s">
        <v>407</v>
      </c>
      <c r="F20" s="8" t="str">
        <f>_xlfn.XLOOKUP(C20,Product!$A$2:$A$46,Product!$B$2:$B$46,0)</f>
        <v>A4 Copy Paper (500)</v>
      </c>
      <c r="G20" s="8" t="str">
        <f>_xlfn.XLOOKUP(C20,Product!$A$2:$A$46,Product!$C$2:$C$46,0)</f>
        <v>Stationery</v>
      </c>
      <c r="H20" s="9">
        <f>VLOOKUP(C20,Product!A:D,4,FALSE)</f>
        <v>54.11</v>
      </c>
      <c r="I20" s="9">
        <f t="shared" si="0"/>
        <v>378.77</v>
      </c>
      <c r="J20" s="8" t="str">
        <f>_xlfn.XLOOKUP(E20,SalesRep!$A$2:$A$26,SalesRep!$B$2:$B$26,0)</f>
        <v>Logan Scott</v>
      </c>
    </row>
    <row r="21" spans="1:10" x14ac:dyDescent="0.35">
      <c r="A21" s="13">
        <v>45474</v>
      </c>
      <c r="B21" s="14" t="s">
        <v>307</v>
      </c>
      <c r="C21" s="14" t="s">
        <v>262</v>
      </c>
      <c r="D21" s="15">
        <v>6</v>
      </c>
      <c r="E21" s="14" t="s">
        <v>408</v>
      </c>
      <c r="F21" s="8" t="str">
        <f>_xlfn.XLOOKUP(C21,Product!$A$2:$A$46,Product!$B$2:$B$46,0)</f>
        <v>Notepad A5</v>
      </c>
      <c r="G21" s="8" t="str">
        <f>_xlfn.XLOOKUP(C21,Product!$A$2:$A$46,Product!$C$2:$C$46,0)</f>
        <v>Stationery</v>
      </c>
      <c r="H21" s="9">
        <f>VLOOKUP(C21,Product!A:D,4,FALSE)</f>
        <v>37.78</v>
      </c>
      <c r="I21" s="9">
        <f t="shared" si="0"/>
        <v>226.68</v>
      </c>
      <c r="J21" s="8" t="str">
        <f>_xlfn.XLOOKUP(E21,SalesRep!$A$2:$A$26,SalesRep!$B$2:$B$26,0)</f>
        <v>Cameron King</v>
      </c>
    </row>
    <row r="22" spans="1:10" x14ac:dyDescent="0.35">
      <c r="A22" s="13">
        <v>45474</v>
      </c>
      <c r="B22" s="14" t="s">
        <v>308</v>
      </c>
      <c r="C22" s="14" t="s">
        <v>263</v>
      </c>
      <c r="D22" s="15">
        <v>10</v>
      </c>
      <c r="E22" s="14" t="s">
        <v>409</v>
      </c>
      <c r="F22" s="8" t="str">
        <f>_xlfn.XLOOKUP(C22,Product!$A$2:$A$46,Product!$B$2:$B$46,0)</f>
        <v>Gel Pens (10)</v>
      </c>
      <c r="G22" s="8" t="str">
        <f>_xlfn.XLOOKUP(C22,Product!$A$2:$A$46,Product!$C$2:$C$46,0)</f>
        <v>Stationery</v>
      </c>
      <c r="H22" s="9">
        <f>VLOOKUP(C22,Product!A:D,4,FALSE)</f>
        <v>74.97</v>
      </c>
      <c r="I22" s="9">
        <f t="shared" si="0"/>
        <v>749.7</v>
      </c>
      <c r="J22" s="8" t="str">
        <f>_xlfn.XLOOKUP(E22,SalesRep!$A$2:$A$26,SalesRep!$B$2:$B$26,0)</f>
        <v>Casey King</v>
      </c>
    </row>
    <row r="23" spans="1:10" x14ac:dyDescent="0.35">
      <c r="A23" s="13">
        <v>45474</v>
      </c>
      <c r="B23" s="14" t="s">
        <v>309</v>
      </c>
      <c r="C23" s="14" t="s">
        <v>264</v>
      </c>
      <c r="D23" s="15">
        <v>1</v>
      </c>
      <c r="E23" s="14" t="s">
        <v>410</v>
      </c>
      <c r="F23" s="8" t="str">
        <f>_xlfn.XLOOKUP(C23,Product!$A$2:$A$46,Product!$B$2:$B$46,0)</f>
        <v>Highlighters (6)</v>
      </c>
      <c r="G23" s="8" t="str">
        <f>_xlfn.XLOOKUP(C23,Product!$A$2:$A$46,Product!$C$2:$C$46,0)</f>
        <v>Stationery</v>
      </c>
      <c r="H23" s="9">
        <f>VLOOKUP(C23,Product!A:D,4,FALSE)</f>
        <v>20.18</v>
      </c>
      <c r="I23" s="9">
        <f t="shared" si="0"/>
        <v>20.18</v>
      </c>
      <c r="J23" s="8" t="str">
        <f>_xlfn.XLOOKUP(E23,SalesRep!$A$2:$A$26,SalesRep!$B$2:$B$26,0)</f>
        <v>Casey Hall</v>
      </c>
    </row>
    <row r="24" spans="1:10" x14ac:dyDescent="0.35">
      <c r="A24" s="13">
        <v>45474</v>
      </c>
      <c r="B24" s="14" t="s">
        <v>310</v>
      </c>
      <c r="C24" s="14" t="s">
        <v>265</v>
      </c>
      <c r="D24" s="15">
        <v>2</v>
      </c>
      <c r="E24" s="14" t="s">
        <v>411</v>
      </c>
      <c r="F24" s="8" t="str">
        <f>_xlfn.XLOOKUP(C24,Product!$A$2:$A$46,Product!$B$2:$B$46,0)</f>
        <v>Sticky Notes Pack</v>
      </c>
      <c r="G24" s="8" t="str">
        <f>_xlfn.XLOOKUP(C24,Product!$A$2:$A$46,Product!$C$2:$C$46,0)</f>
        <v>Stationery</v>
      </c>
      <c r="H24" s="9">
        <f>VLOOKUP(C24,Product!A:D,4,FALSE)</f>
        <v>37.89</v>
      </c>
      <c r="I24" s="9">
        <f t="shared" si="0"/>
        <v>75.78</v>
      </c>
      <c r="J24" s="8" t="str">
        <f>_xlfn.XLOOKUP(E24,SalesRep!$A$2:$A$26,SalesRep!$B$2:$B$26,0)</f>
        <v>Dakota White</v>
      </c>
    </row>
    <row r="25" spans="1:10" x14ac:dyDescent="0.35">
      <c r="A25" s="13">
        <v>45474</v>
      </c>
      <c r="B25" s="14" t="s">
        <v>311</v>
      </c>
      <c r="C25" s="14" t="s">
        <v>266</v>
      </c>
      <c r="D25" s="15">
        <v>3</v>
      </c>
      <c r="E25" s="14" t="s">
        <v>412</v>
      </c>
      <c r="F25" s="8" t="str">
        <f>_xlfn.XLOOKUP(C25,Product!$A$2:$A$46,Product!$B$2:$B$46,0)</f>
        <v>Binder A4</v>
      </c>
      <c r="G25" s="8" t="str">
        <f>_xlfn.XLOOKUP(C25,Product!$A$2:$A$46,Product!$C$2:$C$46,0)</f>
        <v>Stationery</v>
      </c>
      <c r="H25" s="9">
        <f>VLOOKUP(C25,Product!A:D,4,FALSE)</f>
        <v>46.5</v>
      </c>
      <c r="I25" s="9">
        <f t="shared" si="0"/>
        <v>139.5</v>
      </c>
      <c r="J25" s="8" t="str">
        <f>_xlfn.XLOOKUP(E25,SalesRep!$A$2:$A$26,SalesRep!$B$2:$B$26,0)</f>
        <v>Peyton Torres</v>
      </c>
    </row>
    <row r="26" spans="1:10" x14ac:dyDescent="0.35">
      <c r="A26" s="13">
        <v>45505</v>
      </c>
      <c r="B26" s="14" t="s">
        <v>312</v>
      </c>
      <c r="C26" s="14" t="s">
        <v>267</v>
      </c>
      <c r="D26" s="15">
        <v>7</v>
      </c>
      <c r="E26" s="14" t="s">
        <v>413</v>
      </c>
      <c r="F26" s="8" t="str">
        <f>_xlfn.XLOOKUP(C26,Product!$A$2:$A$46,Product!$B$2:$B$46,0)</f>
        <v>Mechanical Keyboard</v>
      </c>
      <c r="G26" s="8" t="str">
        <f>_xlfn.XLOOKUP(C26,Product!$A$2:$A$46,Product!$C$2:$C$46,0)</f>
        <v>Computer Accessories</v>
      </c>
      <c r="H26" s="9">
        <f>VLOOKUP(C26,Product!A:D,4,FALSE)</f>
        <v>56.9</v>
      </c>
      <c r="I26" s="9">
        <f t="shared" si="0"/>
        <v>398.3</v>
      </c>
      <c r="J26" s="8" t="str">
        <f>_xlfn.XLOOKUP(E26,SalesRep!$A$2:$A$26,SalesRep!$B$2:$B$26,0)</f>
        <v>Shawn Nguyen</v>
      </c>
    </row>
    <row r="27" spans="1:10" x14ac:dyDescent="0.35">
      <c r="A27" s="13">
        <v>45536</v>
      </c>
      <c r="B27" s="14" t="s">
        <v>313</v>
      </c>
      <c r="C27" s="14" t="s">
        <v>268</v>
      </c>
      <c r="D27" s="15">
        <v>5</v>
      </c>
      <c r="E27" s="14" t="s">
        <v>389</v>
      </c>
      <c r="F27" s="8" t="str">
        <f>_xlfn.XLOOKUP(C27,Product!$A$2:$A$46,Product!$B$2:$B$46,0)</f>
        <v>SSD 1TB</v>
      </c>
      <c r="G27" s="8" t="str">
        <f>_xlfn.XLOOKUP(C27,Product!$A$2:$A$46,Product!$C$2:$C$46,0)</f>
        <v>Computer Accessories</v>
      </c>
      <c r="H27" s="9">
        <f>VLOOKUP(C27,Product!A:D,4,FALSE)</f>
        <v>95.08</v>
      </c>
      <c r="I27" s="9">
        <f t="shared" si="0"/>
        <v>475.4</v>
      </c>
      <c r="J27" s="8" t="str">
        <f>_xlfn.XLOOKUP(E27,SalesRep!$A$2:$A$26,SalesRep!$B$2:$B$26,0)</f>
        <v>Rowan Anderson</v>
      </c>
    </row>
    <row r="28" spans="1:10" x14ac:dyDescent="0.35">
      <c r="A28" s="13">
        <v>45536</v>
      </c>
      <c r="B28" s="14" t="s">
        <v>314</v>
      </c>
      <c r="C28" s="14" t="s">
        <v>269</v>
      </c>
      <c r="D28" s="15">
        <v>10</v>
      </c>
      <c r="E28" s="14" t="s">
        <v>390</v>
      </c>
      <c r="F28" s="8" t="str">
        <f>_xlfn.XLOOKUP(C28,Product!$A$2:$A$46,Product!$B$2:$B$46,0)</f>
        <v>External HDD 2TB</v>
      </c>
      <c r="G28" s="8" t="str">
        <f>_xlfn.XLOOKUP(C28,Product!$A$2:$A$46,Product!$C$2:$C$46,0)</f>
        <v>Computer Accessories</v>
      </c>
      <c r="H28" s="9">
        <f>VLOOKUP(C28,Product!A:D,4,FALSE)</f>
        <v>27.16</v>
      </c>
      <c r="I28" s="9">
        <f t="shared" si="0"/>
        <v>271.60000000000002</v>
      </c>
      <c r="J28" s="8" t="str">
        <f>_xlfn.XLOOKUP(E28,SalesRep!$A$2:$A$26,SalesRep!$B$2:$B$26,0)</f>
        <v>Avery Torres</v>
      </c>
    </row>
    <row r="29" spans="1:10" x14ac:dyDescent="0.35">
      <c r="A29" s="13">
        <v>45536</v>
      </c>
      <c r="B29" s="14" t="s">
        <v>315</v>
      </c>
      <c r="C29" s="14" t="s">
        <v>270</v>
      </c>
      <c r="D29" s="15">
        <v>5</v>
      </c>
      <c r="E29" s="14" t="s">
        <v>391</v>
      </c>
      <c r="F29" s="8" t="str">
        <f>_xlfn.XLOOKUP(C29,Product!$A$2:$A$46,Product!$B$2:$B$46,0)</f>
        <v>RAM 16GB Kit</v>
      </c>
      <c r="G29" s="8" t="str">
        <f>_xlfn.XLOOKUP(C29,Product!$A$2:$A$46,Product!$C$2:$C$46,0)</f>
        <v>Computer Accessories</v>
      </c>
      <c r="H29" s="9">
        <f>VLOOKUP(C29,Product!A:D,4,FALSE)</f>
        <v>63.65</v>
      </c>
      <c r="I29" s="9">
        <f t="shared" si="0"/>
        <v>318.25</v>
      </c>
      <c r="J29" s="8" t="str">
        <f>_xlfn.XLOOKUP(E29,SalesRep!$A$2:$A$26,SalesRep!$B$2:$B$26,0)</f>
        <v>Peyton Smith</v>
      </c>
    </row>
    <row r="30" spans="1:10" x14ac:dyDescent="0.35">
      <c r="A30" s="13">
        <v>45566</v>
      </c>
      <c r="B30" s="14" t="s">
        <v>316</v>
      </c>
      <c r="C30" s="14" t="s">
        <v>271</v>
      </c>
      <c r="D30" s="15">
        <v>3</v>
      </c>
      <c r="E30" s="14" t="s">
        <v>392</v>
      </c>
      <c r="F30" s="8" t="str">
        <f>_xlfn.XLOOKUP(C30,Product!$A$2:$A$46,Product!$B$2:$B$46,0)</f>
        <v>Graphics Tablet</v>
      </c>
      <c r="G30" s="8" t="str">
        <f>_xlfn.XLOOKUP(C30,Product!$A$2:$A$46,Product!$C$2:$C$46,0)</f>
        <v>Computer Accessories</v>
      </c>
      <c r="H30" s="9">
        <f>VLOOKUP(C30,Product!A:D,4,FALSE)</f>
        <v>72.72</v>
      </c>
      <c r="I30" s="9">
        <f t="shared" si="0"/>
        <v>218.16</v>
      </c>
      <c r="J30" s="8" t="str">
        <f>_xlfn.XLOOKUP(E30,SalesRep!$A$2:$A$26,SalesRep!$B$2:$B$26,0)</f>
        <v>Finley Wright</v>
      </c>
    </row>
    <row r="31" spans="1:10" x14ac:dyDescent="0.35">
      <c r="A31" s="13">
        <v>45566</v>
      </c>
      <c r="B31" s="14" t="s">
        <v>317</v>
      </c>
      <c r="C31" s="14" t="s">
        <v>272</v>
      </c>
      <c r="D31" s="15">
        <v>10</v>
      </c>
      <c r="E31" s="14" t="s">
        <v>393</v>
      </c>
      <c r="F31" s="8" t="str">
        <f>_xlfn.XLOOKUP(C31,Product!$A$2:$A$46,Product!$B$2:$B$46,0)</f>
        <v>Laptop Stand</v>
      </c>
      <c r="G31" s="8" t="str">
        <f>_xlfn.XLOOKUP(C31,Product!$A$2:$A$46,Product!$C$2:$C$46,0)</f>
        <v>Computer Accessories</v>
      </c>
      <c r="H31" s="9">
        <f>VLOOKUP(C31,Product!A:D,4,FALSE)</f>
        <v>9.39</v>
      </c>
      <c r="I31" s="9">
        <f t="shared" si="0"/>
        <v>93.9</v>
      </c>
      <c r="J31" s="8" t="str">
        <f>_xlfn.XLOOKUP(E31,SalesRep!$A$2:$A$26,SalesRep!$B$2:$B$26,0)</f>
        <v>Peyton Nguyen</v>
      </c>
    </row>
    <row r="32" spans="1:10" x14ac:dyDescent="0.35">
      <c r="A32" s="13">
        <v>45566</v>
      </c>
      <c r="B32" s="14" t="s">
        <v>318</v>
      </c>
      <c r="C32" s="14" t="s">
        <v>273</v>
      </c>
      <c r="D32" s="15">
        <v>8</v>
      </c>
      <c r="E32" s="14" t="s">
        <v>394</v>
      </c>
      <c r="F32" s="8" t="str">
        <f>_xlfn.XLOOKUP(C32,Product!$A$2:$A$46,Product!$B$2:$B$46,0)</f>
        <v>Monitor Stand</v>
      </c>
      <c r="G32" s="8" t="str">
        <f>_xlfn.XLOOKUP(C32,Product!$A$2:$A$46,Product!$C$2:$C$46,0)</f>
        <v>Furniture</v>
      </c>
      <c r="H32" s="9">
        <f>VLOOKUP(C32,Product!A:D,4,FALSE)</f>
        <v>45.99</v>
      </c>
      <c r="I32" s="9">
        <f t="shared" si="0"/>
        <v>367.92</v>
      </c>
      <c r="J32" s="8" t="str">
        <f>_xlfn.XLOOKUP(E32,SalesRep!$A$2:$A$26,SalesRep!$B$2:$B$26,0)</f>
        <v>Finley Anderson</v>
      </c>
    </row>
    <row r="33" spans="1:10" x14ac:dyDescent="0.35">
      <c r="A33" s="13">
        <v>45597</v>
      </c>
      <c r="B33" s="14" t="s">
        <v>319</v>
      </c>
      <c r="C33" s="14" t="s">
        <v>274</v>
      </c>
      <c r="D33" s="15">
        <v>6</v>
      </c>
      <c r="E33" s="14" t="s">
        <v>395</v>
      </c>
      <c r="F33" s="8" t="str">
        <f>_xlfn.XLOOKUP(C33,Product!$A$2:$A$46,Product!$B$2:$B$46,0)</f>
        <v>Wireless Keyboard</v>
      </c>
      <c r="G33" s="8" t="str">
        <f>_xlfn.XLOOKUP(C33,Product!$A$2:$A$46,Product!$C$2:$C$46,0)</f>
        <v>Electronics</v>
      </c>
      <c r="H33" s="9">
        <f>VLOOKUP(C33,Product!A:D,4,FALSE)</f>
        <v>79.5</v>
      </c>
      <c r="I33" s="9">
        <f t="shared" ref="I33:I64" si="1">H33*D33</f>
        <v>477</v>
      </c>
      <c r="J33" s="8" t="str">
        <f>_xlfn.XLOOKUP(E33,SalesRep!$A$2:$A$26,SalesRep!$B$2:$B$26,0)</f>
        <v>Peyton Wright</v>
      </c>
    </row>
    <row r="34" spans="1:10" x14ac:dyDescent="0.35">
      <c r="A34" s="13">
        <v>45597</v>
      </c>
      <c r="B34" s="14" t="s">
        <v>320</v>
      </c>
      <c r="C34" s="14" t="s">
        <v>275</v>
      </c>
      <c r="D34" s="15">
        <v>2</v>
      </c>
      <c r="E34" s="14" t="s">
        <v>396</v>
      </c>
      <c r="F34" s="8" t="str">
        <f>_xlfn.XLOOKUP(C34,Product!$A$2:$A$46,Product!$B$2:$B$46,0)</f>
        <v>Desk Mat</v>
      </c>
      <c r="G34" s="8" t="str">
        <f>_xlfn.XLOOKUP(C34,Product!$A$2:$A$46,Product!$C$2:$C$46,0)</f>
        <v>Office Supplies</v>
      </c>
      <c r="H34" s="9">
        <f>VLOOKUP(C34,Product!A:D,4,FALSE)</f>
        <v>34.25</v>
      </c>
      <c r="I34" s="9">
        <f t="shared" si="1"/>
        <v>68.5</v>
      </c>
      <c r="J34" s="8" t="str">
        <f>_xlfn.XLOOKUP(E34,SalesRep!$A$2:$A$26,SalesRep!$B$2:$B$26,0)</f>
        <v>Marley Torres</v>
      </c>
    </row>
    <row r="35" spans="1:10" x14ac:dyDescent="0.35">
      <c r="A35" s="13">
        <v>45597</v>
      </c>
      <c r="B35" s="14" t="s">
        <v>321</v>
      </c>
      <c r="C35" s="14" t="s">
        <v>276</v>
      </c>
      <c r="D35" s="15">
        <v>8</v>
      </c>
      <c r="E35" s="14" t="s">
        <v>397</v>
      </c>
      <c r="F35" s="8" t="str">
        <f>_xlfn.XLOOKUP(C35,Product!$A$2:$A$46,Product!$B$2:$B$46,0)</f>
        <v>Desk Calendar</v>
      </c>
      <c r="G35" s="8" t="str">
        <f>_xlfn.XLOOKUP(C35,Product!$A$2:$A$46,Product!$C$2:$C$46,0)</f>
        <v>Stationery</v>
      </c>
      <c r="H35" s="9">
        <f>VLOOKUP(C35,Product!A:D,4,FALSE)</f>
        <v>18.989999999999998</v>
      </c>
      <c r="I35" s="9">
        <f t="shared" si="1"/>
        <v>151.91999999999999</v>
      </c>
      <c r="J35" s="8" t="str">
        <f>_xlfn.XLOOKUP(E35,SalesRep!$A$2:$A$26,SalesRep!$B$2:$B$26,0)</f>
        <v>Hayden Johnson</v>
      </c>
    </row>
    <row r="36" spans="1:10" x14ac:dyDescent="0.35">
      <c r="A36" s="13">
        <v>45627</v>
      </c>
      <c r="B36" s="14" t="s">
        <v>322</v>
      </c>
      <c r="C36" s="14" t="s">
        <v>277</v>
      </c>
      <c r="D36" s="15">
        <v>10</v>
      </c>
      <c r="E36" s="14" t="s">
        <v>398</v>
      </c>
      <c r="F36" s="8" t="str">
        <f>_xlfn.XLOOKUP(C36,Product!$A$2:$A$46,Product!$B$2:$B$46,0)</f>
        <v>Document Holder</v>
      </c>
      <c r="G36" s="8" t="str">
        <f>_xlfn.XLOOKUP(C36,Product!$A$2:$A$46,Product!$C$2:$C$46,0)</f>
        <v>Office Supplies</v>
      </c>
      <c r="H36" s="9">
        <f>VLOOKUP(C36,Product!A:D,4,FALSE)</f>
        <v>29.5</v>
      </c>
      <c r="I36" s="9">
        <f t="shared" si="1"/>
        <v>295</v>
      </c>
      <c r="J36" s="8" t="str">
        <f>_xlfn.XLOOKUP(E36,SalesRep!$A$2:$A$26,SalesRep!$B$2:$B$26,0)</f>
        <v>Finley Garcia</v>
      </c>
    </row>
    <row r="37" spans="1:10" x14ac:dyDescent="0.35">
      <c r="A37" s="13">
        <v>45627</v>
      </c>
      <c r="B37" s="14" t="s">
        <v>323</v>
      </c>
      <c r="C37" s="14" t="s">
        <v>278</v>
      </c>
      <c r="D37" s="15">
        <v>4</v>
      </c>
      <c r="E37" s="14" t="s">
        <v>399</v>
      </c>
      <c r="F37" s="8" t="str">
        <f>_xlfn.XLOOKUP(C37,Product!$A$2:$A$46,Product!$B$2:$B$46,0)</f>
        <v>Cable Management Kit</v>
      </c>
      <c r="G37" s="8" t="str">
        <f>_xlfn.XLOOKUP(C37,Product!$A$2:$A$46,Product!$C$2:$C$46,0)</f>
        <v>Computer Accessories</v>
      </c>
      <c r="H37" s="9">
        <f>VLOOKUP(C37,Product!A:D,4,FALSE)</f>
        <v>24.75</v>
      </c>
      <c r="I37" s="9">
        <f t="shared" si="1"/>
        <v>99</v>
      </c>
      <c r="J37" s="8" t="str">
        <f>_xlfn.XLOOKUP(E37,SalesRep!$A$2:$A$26,SalesRep!$B$2:$B$26,0)</f>
        <v>Drew Thomas</v>
      </c>
    </row>
    <row r="38" spans="1:10" x14ac:dyDescent="0.35">
      <c r="A38" s="13">
        <v>45627</v>
      </c>
      <c r="B38" s="14" t="s">
        <v>324</v>
      </c>
      <c r="C38" s="14" t="s">
        <v>279</v>
      </c>
      <c r="D38" s="15">
        <v>9</v>
      </c>
      <c r="E38" s="14" t="s">
        <v>400</v>
      </c>
      <c r="F38" s="8" t="str">
        <f>_xlfn.XLOOKUP(C38,Product!$A$2:$A$46,Product!$B$2:$B$46,0)</f>
        <v>Desk Fan</v>
      </c>
      <c r="G38" s="8" t="str">
        <f>_xlfn.XLOOKUP(C38,Product!$A$2:$A$46,Product!$C$2:$C$46,0)</f>
        <v>Electronics</v>
      </c>
      <c r="H38" s="9">
        <f>VLOOKUP(C38,Product!A:D,4,FALSE)</f>
        <v>42.99</v>
      </c>
      <c r="I38" s="9">
        <f t="shared" si="1"/>
        <v>386.91</v>
      </c>
      <c r="J38" s="8" t="str">
        <f>_xlfn.XLOOKUP(E38,SalesRep!$A$2:$A$26,SalesRep!$B$2:$B$26,0)</f>
        <v>Jules Wilson</v>
      </c>
    </row>
    <row r="39" spans="1:10" x14ac:dyDescent="0.35">
      <c r="A39" s="13">
        <v>45627</v>
      </c>
      <c r="B39" s="14" t="s">
        <v>325</v>
      </c>
      <c r="C39" s="14" t="s">
        <v>280</v>
      </c>
      <c r="D39" s="15">
        <v>1</v>
      </c>
      <c r="E39" s="14" t="s">
        <v>401</v>
      </c>
      <c r="F39" s="8" t="str">
        <f>_xlfn.XLOOKUP(C39,Product!$A$2:$A$46,Product!$B$2:$B$46,0)</f>
        <v>Paper Shredder</v>
      </c>
      <c r="G39" s="8" t="str">
        <f>_xlfn.XLOOKUP(C39,Product!$A$2:$A$46,Product!$C$2:$C$46,0)</f>
        <v>Office Supplies</v>
      </c>
      <c r="H39" s="9">
        <f>VLOOKUP(C39,Product!A:D,4,FALSE)</f>
        <v>89.99</v>
      </c>
      <c r="I39" s="9">
        <f t="shared" si="1"/>
        <v>89.99</v>
      </c>
      <c r="J39" s="8" t="str">
        <f>_xlfn.XLOOKUP(E39,SalesRep!$A$2:$A$26,SalesRep!$B$2:$B$26,0)</f>
        <v>Finley Harris</v>
      </c>
    </row>
    <row r="40" spans="1:10" x14ac:dyDescent="0.35">
      <c r="A40" s="13">
        <v>45658</v>
      </c>
      <c r="B40" s="14" t="s">
        <v>326</v>
      </c>
      <c r="C40" s="14" t="s">
        <v>281</v>
      </c>
      <c r="D40" s="15">
        <v>9</v>
      </c>
      <c r="E40" s="14" t="s">
        <v>402</v>
      </c>
      <c r="F40" s="8" t="str">
        <f>_xlfn.XLOOKUP(C40,Product!$A$2:$A$46,Product!$B$2:$B$46,0)</f>
        <v>Label Maker</v>
      </c>
      <c r="G40" s="8" t="str">
        <f>_xlfn.XLOOKUP(C40,Product!$A$2:$A$46,Product!$C$2:$C$46,0)</f>
        <v>Office Supplies</v>
      </c>
      <c r="H40" s="9">
        <f>VLOOKUP(C40,Product!A:D,4,FALSE)</f>
        <v>55.25</v>
      </c>
      <c r="I40" s="9">
        <f t="shared" si="1"/>
        <v>497.25</v>
      </c>
      <c r="J40" s="8" t="str">
        <f>_xlfn.XLOOKUP(E40,SalesRep!$A$2:$A$26,SalesRep!$B$2:$B$26,0)</f>
        <v>Avery Smith</v>
      </c>
    </row>
    <row r="41" spans="1:10" x14ac:dyDescent="0.35">
      <c r="A41" s="13">
        <v>45658</v>
      </c>
      <c r="B41" s="14" t="s">
        <v>327</v>
      </c>
      <c r="C41" s="14" t="s">
        <v>282</v>
      </c>
      <c r="D41" s="15">
        <v>4</v>
      </c>
      <c r="E41" s="14" t="s">
        <v>403</v>
      </c>
      <c r="F41" s="8" t="str">
        <f>_xlfn.XLOOKUP(C41,Product!$A$2:$A$46,Product!$B$2:$B$46,0)</f>
        <v>Mesh Pencil Cup</v>
      </c>
      <c r="G41" s="8" t="str">
        <f>_xlfn.XLOOKUP(C41,Product!$A$2:$A$46,Product!$C$2:$C$46,0)</f>
        <v>Office Supplies</v>
      </c>
      <c r="H41" s="9">
        <f>VLOOKUP(C41,Product!A:D,4,FALSE)</f>
        <v>12.5</v>
      </c>
      <c r="I41" s="9">
        <f t="shared" si="1"/>
        <v>50</v>
      </c>
      <c r="J41" s="8" t="str">
        <f>_xlfn.XLOOKUP(E41,SalesRep!$A$2:$A$26,SalesRep!$B$2:$B$26,0)</f>
        <v>Riley Harris</v>
      </c>
    </row>
    <row r="42" spans="1:10" x14ac:dyDescent="0.35">
      <c r="A42" s="13">
        <v>45658</v>
      </c>
      <c r="B42" s="14" t="s">
        <v>328</v>
      </c>
      <c r="C42" s="14" t="s">
        <v>283</v>
      </c>
      <c r="D42" s="15">
        <v>3</v>
      </c>
      <c r="E42" s="14" t="s">
        <v>404</v>
      </c>
      <c r="F42" s="8" t="str">
        <f>_xlfn.XLOOKUP(C42,Product!$A$2:$A$46,Product!$B$2:$B$46,0)</f>
        <v>Presentation Clicker</v>
      </c>
      <c r="G42" s="8" t="str">
        <f>_xlfn.XLOOKUP(C42,Product!$A$2:$A$46,Product!$C$2:$C$46,0)</f>
        <v>Electronics</v>
      </c>
      <c r="H42" s="9">
        <f>VLOOKUP(C42,Product!A:D,4,FALSE)</f>
        <v>35.99</v>
      </c>
      <c r="I42" s="9">
        <f t="shared" si="1"/>
        <v>107.97</v>
      </c>
      <c r="J42" s="8" t="str">
        <f>_xlfn.XLOOKUP(E42,SalesRep!$A$2:$A$26,SalesRep!$B$2:$B$26,0)</f>
        <v>Reese Smith</v>
      </c>
    </row>
    <row r="43" spans="1:10" x14ac:dyDescent="0.35">
      <c r="A43" s="13">
        <v>45658</v>
      </c>
      <c r="B43" s="14" t="s">
        <v>329</v>
      </c>
      <c r="C43" s="14" t="s">
        <v>284</v>
      </c>
      <c r="D43" s="15">
        <v>10</v>
      </c>
      <c r="E43" s="14" t="s">
        <v>405</v>
      </c>
      <c r="F43" s="8" t="str">
        <f>_xlfn.XLOOKUP(C43,Product!$A$2:$A$46,Product!$B$2:$B$46,0)</f>
        <v>Anti-Fatigue Mat</v>
      </c>
      <c r="G43" s="8" t="str">
        <f>_xlfn.XLOOKUP(C43,Product!$A$2:$A$46,Product!$C$2:$C$46,0)</f>
        <v>Furniture</v>
      </c>
      <c r="H43" s="9">
        <f>VLOOKUP(C43,Product!A:D,4,FALSE)</f>
        <v>67.5</v>
      </c>
      <c r="I43" s="9">
        <f t="shared" si="1"/>
        <v>675</v>
      </c>
      <c r="J43" s="8" t="str">
        <f>_xlfn.XLOOKUP(E43,SalesRep!$A$2:$A$26,SalesRep!$B$2:$B$26,0)</f>
        <v>Elliot Garcia</v>
      </c>
    </row>
    <row r="44" spans="1:10" x14ac:dyDescent="0.35">
      <c r="A44" s="13">
        <v>45658</v>
      </c>
      <c r="B44" s="14" t="s">
        <v>330</v>
      </c>
      <c r="C44" s="14" t="s">
        <v>285</v>
      </c>
      <c r="D44" s="15">
        <v>4</v>
      </c>
      <c r="E44" s="14" t="s">
        <v>406</v>
      </c>
      <c r="F44" s="8" t="str">
        <f>_xlfn.XLOOKUP(C44,Product!$A$2:$A$46,Product!$B$2:$B$46,0)</f>
        <v>Desk Drawer Organizer</v>
      </c>
      <c r="G44" s="8" t="str">
        <f>_xlfn.XLOOKUP(C44,Product!$A$2:$A$46,Product!$C$2:$C$46,0)</f>
        <v>Office Supplies</v>
      </c>
      <c r="H44" s="9">
        <f>VLOOKUP(C44,Product!A:D,4,FALSE)</f>
        <v>22.75</v>
      </c>
      <c r="I44" s="9">
        <f t="shared" si="1"/>
        <v>91</v>
      </c>
      <c r="J44" s="8" t="str">
        <f>_xlfn.XLOOKUP(E44,SalesRep!$A$2:$A$26,SalesRep!$B$2:$B$26,0)</f>
        <v>Skyler Green</v>
      </c>
    </row>
    <row r="45" spans="1:10" x14ac:dyDescent="0.35">
      <c r="A45" s="13">
        <v>45689</v>
      </c>
      <c r="B45" s="14" t="s">
        <v>331</v>
      </c>
      <c r="C45" s="14" t="s">
        <v>286</v>
      </c>
      <c r="D45" s="15">
        <v>5</v>
      </c>
      <c r="E45" s="14" t="s">
        <v>407</v>
      </c>
      <c r="F45" s="8" t="str">
        <f>_xlfn.XLOOKUP(C45,Product!$A$2:$A$46,Product!$B$2:$B$46,0)</f>
        <v>Whiteboard Markers (12)</v>
      </c>
      <c r="G45" s="8" t="str">
        <f>_xlfn.XLOOKUP(C45,Product!$A$2:$A$46,Product!$C$2:$C$46,0)</f>
        <v>Stationery</v>
      </c>
      <c r="H45" s="9">
        <f>VLOOKUP(C45,Product!A:D,4,FALSE)</f>
        <v>15.99</v>
      </c>
      <c r="I45" s="9">
        <f t="shared" si="1"/>
        <v>79.95</v>
      </c>
      <c r="J45" s="8" t="str">
        <f>_xlfn.XLOOKUP(E45,SalesRep!$A$2:$A$26,SalesRep!$B$2:$B$26,0)</f>
        <v>Logan Scott</v>
      </c>
    </row>
    <row r="46" spans="1:10" x14ac:dyDescent="0.35">
      <c r="A46" s="13">
        <v>45689</v>
      </c>
      <c r="B46" s="14" t="s">
        <v>332</v>
      </c>
      <c r="C46" s="14" t="s">
        <v>287</v>
      </c>
      <c r="D46" s="15">
        <v>10</v>
      </c>
      <c r="E46" s="14" t="s">
        <v>408</v>
      </c>
      <c r="F46" s="8" t="str">
        <f>_xlfn.XLOOKUP(C46,Product!$A$2:$A$46,Product!$B$2:$B$46,0)</f>
        <v>Desk Mat (Large)</v>
      </c>
      <c r="G46" s="8" t="str">
        <f>_xlfn.XLOOKUP(C46,Product!$A$2:$A$46,Product!$C$2:$C$46,0)</f>
        <v>Office Supplies</v>
      </c>
      <c r="H46" s="9">
        <f>VLOOKUP(C46,Product!A:D,4,FALSE)</f>
        <v>109.99</v>
      </c>
      <c r="I46" s="9">
        <f t="shared" si="1"/>
        <v>1099.8999999999999</v>
      </c>
      <c r="J46" s="8" t="str">
        <f>_xlfn.XLOOKUP(E46,SalesRep!$A$2:$A$26,SalesRep!$B$2:$B$26,0)</f>
        <v>Cameron King</v>
      </c>
    </row>
    <row r="47" spans="1:10" x14ac:dyDescent="0.35">
      <c r="A47" s="13">
        <v>45689</v>
      </c>
      <c r="B47" s="14" t="s">
        <v>333</v>
      </c>
      <c r="C47" s="14" t="s">
        <v>243</v>
      </c>
      <c r="D47" s="15">
        <v>4</v>
      </c>
      <c r="E47" s="14" t="s">
        <v>409</v>
      </c>
      <c r="F47" s="8" t="str">
        <f>_xlfn.XLOOKUP(C47,Product!$A$2:$A$46,Product!$B$2:$B$46,0)</f>
        <v>Stapler</v>
      </c>
      <c r="G47" s="8" t="str">
        <f>_xlfn.XLOOKUP(C47,Product!$A$2:$A$46,Product!$C$2:$C$46,0)</f>
        <v>Office Supplies</v>
      </c>
      <c r="H47" s="9">
        <f>VLOOKUP(C47,Product!A:D,4,FALSE)</f>
        <v>47.45</v>
      </c>
      <c r="I47" s="9">
        <f t="shared" si="1"/>
        <v>189.8</v>
      </c>
      <c r="J47" s="8" t="str">
        <f>_xlfn.XLOOKUP(E47,SalesRep!$A$2:$A$26,SalesRep!$B$2:$B$26,0)</f>
        <v>Casey King</v>
      </c>
    </row>
    <row r="48" spans="1:10" x14ac:dyDescent="0.35">
      <c r="A48" s="13">
        <v>45717</v>
      </c>
      <c r="B48" s="14" t="s">
        <v>334</v>
      </c>
      <c r="C48" s="14" t="s">
        <v>244</v>
      </c>
      <c r="D48" s="15">
        <v>7</v>
      </c>
      <c r="E48" s="14" t="s">
        <v>410</v>
      </c>
      <c r="F48" s="8" t="str">
        <f>_xlfn.XLOOKUP(C48,Product!$A$2:$A$46,Product!$B$2:$B$46,0)</f>
        <v>Paper Clips (100pc)</v>
      </c>
      <c r="G48" s="8" t="str">
        <f>_xlfn.XLOOKUP(C48,Product!$A$2:$A$46,Product!$C$2:$C$46,0)</f>
        <v>Office Supplies</v>
      </c>
      <c r="H48" s="9">
        <f>VLOOKUP(C48,Product!A:D,4,FALSE)</f>
        <v>114.28</v>
      </c>
      <c r="I48" s="9">
        <f t="shared" si="1"/>
        <v>799.96</v>
      </c>
      <c r="J48" s="8" t="str">
        <f>_xlfn.XLOOKUP(E48,SalesRep!$A$2:$A$26,SalesRep!$B$2:$B$26,0)</f>
        <v>Casey Hall</v>
      </c>
    </row>
    <row r="49" spans="1:10" x14ac:dyDescent="0.35">
      <c r="A49" s="13">
        <v>45717</v>
      </c>
      <c r="B49" s="14" t="s">
        <v>335</v>
      </c>
      <c r="C49" s="14" t="s">
        <v>245</v>
      </c>
      <c r="D49" s="15">
        <v>8</v>
      </c>
      <c r="E49" s="14" t="s">
        <v>411</v>
      </c>
      <c r="F49" s="8" t="str">
        <f>_xlfn.XLOOKUP(C49,Product!$A$2:$A$46,Product!$B$2:$B$46,0)</f>
        <v>Desk Organizer</v>
      </c>
      <c r="G49" s="8" t="str">
        <f>_xlfn.XLOOKUP(C49,Product!$A$2:$A$46,Product!$C$2:$C$46,0)</f>
        <v>Office Supplies</v>
      </c>
      <c r="H49" s="9">
        <f>VLOOKUP(C49,Product!A:D,4,FALSE)</f>
        <v>88.91</v>
      </c>
      <c r="I49" s="9">
        <f t="shared" si="1"/>
        <v>711.28</v>
      </c>
      <c r="J49" s="8" t="str">
        <f>_xlfn.XLOOKUP(E49,SalesRep!$A$2:$A$26,SalesRep!$B$2:$B$26,0)</f>
        <v>Dakota White</v>
      </c>
    </row>
    <row r="50" spans="1:10" x14ac:dyDescent="0.35">
      <c r="A50" s="13">
        <v>45717</v>
      </c>
      <c r="B50" s="14" t="s">
        <v>336</v>
      </c>
      <c r="C50" s="14" t="s">
        <v>246</v>
      </c>
      <c r="D50" s="15">
        <v>10</v>
      </c>
      <c r="E50" s="14" t="s">
        <v>412</v>
      </c>
      <c r="F50" s="8" t="str">
        <f>_xlfn.XLOOKUP(C50,Product!$A$2:$A$46,Product!$B$2:$B$46,0)</f>
        <v>Whiteboard</v>
      </c>
      <c r="G50" s="8" t="str">
        <f>_xlfn.XLOOKUP(C50,Product!$A$2:$A$46,Product!$C$2:$C$46,0)</f>
        <v>Office Supplies</v>
      </c>
      <c r="H50" s="9">
        <f>VLOOKUP(C50,Product!A:D,4,FALSE)</f>
        <v>73.44</v>
      </c>
      <c r="I50" s="9">
        <f t="shared" si="1"/>
        <v>734.4</v>
      </c>
      <c r="J50" s="8" t="str">
        <f>_xlfn.XLOOKUP(E50,SalesRep!$A$2:$A$26,SalesRep!$B$2:$B$26,0)</f>
        <v>Peyton Torres</v>
      </c>
    </row>
    <row r="51" spans="1:10" x14ac:dyDescent="0.35">
      <c r="A51" s="13">
        <v>45717</v>
      </c>
      <c r="B51" s="14" t="s">
        <v>337</v>
      </c>
      <c r="C51" s="14" t="s">
        <v>247</v>
      </c>
      <c r="D51" s="15">
        <v>8</v>
      </c>
      <c r="E51" s="14" t="s">
        <v>413</v>
      </c>
      <c r="F51" s="8" t="str">
        <f>_xlfn.XLOOKUP(C51,Product!$A$2:$A$46,Product!$B$2:$B$46,0)</f>
        <v>Hole Punch</v>
      </c>
      <c r="G51" s="8" t="str">
        <f>_xlfn.XLOOKUP(C51,Product!$A$2:$A$46,Product!$C$2:$C$46,0)</f>
        <v>Office Supplies</v>
      </c>
      <c r="H51" s="9">
        <f>VLOOKUP(C51,Product!A:D,4,FALSE)</f>
        <v>22.1</v>
      </c>
      <c r="I51" s="9">
        <f t="shared" si="1"/>
        <v>176.8</v>
      </c>
      <c r="J51" s="8" t="str">
        <f>_xlfn.XLOOKUP(E51,SalesRep!$A$2:$A$26,SalesRep!$B$2:$B$26,0)</f>
        <v>Shawn Nguyen</v>
      </c>
    </row>
    <row r="52" spans="1:10" x14ac:dyDescent="0.35">
      <c r="A52" s="13">
        <v>45748</v>
      </c>
      <c r="B52" s="14" t="s">
        <v>338</v>
      </c>
      <c r="C52" s="14" t="s">
        <v>248</v>
      </c>
      <c r="D52" s="15">
        <v>5</v>
      </c>
      <c r="E52" s="14" t="s">
        <v>389</v>
      </c>
      <c r="F52" s="8" t="str">
        <f>_xlfn.XLOOKUP(C52,Product!$A$2:$A$46,Product!$B$2:$B$46,0)</f>
        <v>Scissors</v>
      </c>
      <c r="G52" s="8" t="str">
        <f>_xlfn.XLOOKUP(C52,Product!$A$2:$A$46,Product!$C$2:$C$46,0)</f>
        <v>Office Supplies</v>
      </c>
      <c r="H52" s="9">
        <f>VLOOKUP(C52,Product!A:D,4,FALSE)</f>
        <v>22.1</v>
      </c>
      <c r="I52" s="9">
        <f t="shared" si="1"/>
        <v>110.5</v>
      </c>
      <c r="J52" s="8" t="str">
        <f>_xlfn.XLOOKUP(E52,SalesRep!$A$2:$A$26,SalesRep!$B$2:$B$26,0)</f>
        <v>Rowan Anderson</v>
      </c>
    </row>
    <row r="53" spans="1:10" x14ac:dyDescent="0.35">
      <c r="A53" s="13">
        <v>45748</v>
      </c>
      <c r="B53" s="14" t="s">
        <v>339</v>
      </c>
      <c r="C53" s="14" t="s">
        <v>249</v>
      </c>
      <c r="D53" s="15">
        <v>10</v>
      </c>
      <c r="E53" s="14" t="s">
        <v>390</v>
      </c>
      <c r="F53" s="8" t="str">
        <f>_xlfn.XLOOKUP(C53,Product!$A$2:$A$46,Product!$B$2:$B$46,0)</f>
        <v>Wireless Mouse</v>
      </c>
      <c r="G53" s="8" t="str">
        <f>_xlfn.XLOOKUP(C53,Product!$A$2:$A$46,Product!$C$2:$C$46,0)</f>
        <v>Electronics</v>
      </c>
      <c r="H53" s="9">
        <f>VLOOKUP(C53,Product!A:D,4,FALSE)</f>
        <v>10.74</v>
      </c>
      <c r="I53" s="9">
        <f t="shared" si="1"/>
        <v>107.4</v>
      </c>
      <c r="J53" s="8" t="str">
        <f>_xlfn.XLOOKUP(E53,SalesRep!$A$2:$A$26,SalesRep!$B$2:$B$26,0)</f>
        <v>Avery Torres</v>
      </c>
    </row>
    <row r="54" spans="1:10" x14ac:dyDescent="0.35">
      <c r="A54" s="13">
        <v>45748</v>
      </c>
      <c r="B54" s="14" t="s">
        <v>340</v>
      </c>
      <c r="C54" s="14" t="s">
        <v>250</v>
      </c>
      <c r="D54" s="15">
        <v>1</v>
      </c>
      <c r="E54" s="14" t="s">
        <v>391</v>
      </c>
      <c r="F54" s="8" t="str">
        <f>_xlfn.XLOOKUP(C54,Product!$A$2:$A$46,Product!$B$2:$B$46,0)</f>
        <v>USB-C Hub</v>
      </c>
      <c r="G54" s="8" t="str">
        <f>_xlfn.XLOOKUP(C54,Product!$A$2:$A$46,Product!$C$2:$C$46,0)</f>
        <v>Electronics</v>
      </c>
      <c r="H54" s="9">
        <f>VLOOKUP(C54,Product!A:D,4,FALSE)</f>
        <v>104.48</v>
      </c>
      <c r="I54" s="9">
        <f t="shared" si="1"/>
        <v>104.48</v>
      </c>
      <c r="J54" s="8" t="str">
        <f>_xlfn.XLOOKUP(E54,SalesRep!$A$2:$A$26,SalesRep!$B$2:$B$26,0)</f>
        <v>Peyton Smith</v>
      </c>
    </row>
    <row r="55" spans="1:10" x14ac:dyDescent="0.35">
      <c r="A55" s="13">
        <v>45778</v>
      </c>
      <c r="B55" s="14" t="s">
        <v>341</v>
      </c>
      <c r="C55" s="14" t="s">
        <v>251</v>
      </c>
      <c r="D55" s="15">
        <v>10</v>
      </c>
      <c r="E55" s="14" t="s">
        <v>392</v>
      </c>
      <c r="F55" s="8" t="str">
        <f>_xlfn.XLOOKUP(C55,Product!$A$2:$A$46,Product!$B$2:$B$46,0)</f>
        <v>Portable Projector</v>
      </c>
      <c r="G55" s="8" t="str">
        <f>_xlfn.XLOOKUP(C55,Product!$A$2:$A$46,Product!$C$2:$C$46,0)</f>
        <v>Electronics</v>
      </c>
      <c r="H55" s="9">
        <f>VLOOKUP(C55,Product!A:D,4,FALSE)</f>
        <v>73.73</v>
      </c>
      <c r="I55" s="9">
        <f t="shared" si="1"/>
        <v>737.30000000000007</v>
      </c>
      <c r="J55" s="8" t="str">
        <f>_xlfn.XLOOKUP(E55,SalesRep!$A$2:$A$26,SalesRep!$B$2:$B$26,0)</f>
        <v>Finley Wright</v>
      </c>
    </row>
    <row r="56" spans="1:10" x14ac:dyDescent="0.35">
      <c r="A56" s="13">
        <v>45778</v>
      </c>
      <c r="B56" s="14" t="s">
        <v>342</v>
      </c>
      <c r="C56" s="14" t="s">
        <v>252</v>
      </c>
      <c r="D56" s="15">
        <v>8</v>
      </c>
      <c r="E56" s="14" t="s">
        <v>393</v>
      </c>
      <c r="F56" s="8" t="str">
        <f>_xlfn.XLOOKUP(C56,Product!$A$2:$A$46,Product!$B$2:$B$46,0)</f>
        <v>Noise-Canceling Headphones</v>
      </c>
      <c r="G56" s="8" t="str">
        <f>_xlfn.XLOOKUP(C56,Product!$A$2:$A$46,Product!$C$2:$C$46,0)</f>
        <v>Electronics</v>
      </c>
      <c r="H56" s="9">
        <f>VLOOKUP(C56,Product!A:D,4,FALSE)</f>
        <v>86.14</v>
      </c>
      <c r="I56" s="9">
        <f t="shared" si="1"/>
        <v>689.12</v>
      </c>
      <c r="J56" s="8" t="str">
        <f>_xlfn.XLOOKUP(E56,SalesRep!$A$2:$A$26,SalesRep!$B$2:$B$26,0)</f>
        <v>Peyton Nguyen</v>
      </c>
    </row>
    <row r="57" spans="1:10" x14ac:dyDescent="0.35">
      <c r="A57" s="13">
        <v>45778</v>
      </c>
      <c r="B57" s="14" t="s">
        <v>343</v>
      </c>
      <c r="C57" s="14" t="s">
        <v>253</v>
      </c>
      <c r="D57" s="15">
        <v>3</v>
      </c>
      <c r="E57" s="14" t="s">
        <v>394</v>
      </c>
      <c r="F57" s="8" t="str">
        <f>_xlfn.XLOOKUP(C57,Product!$A$2:$A$46,Product!$B$2:$B$46,0)</f>
        <v>Webcam 1080p</v>
      </c>
      <c r="G57" s="8" t="str">
        <f>_xlfn.XLOOKUP(C57,Product!$A$2:$A$46,Product!$C$2:$C$46,0)</f>
        <v>Electronics</v>
      </c>
      <c r="H57" s="9">
        <f>VLOOKUP(C57,Product!A:D,4,FALSE)</f>
        <v>6.39</v>
      </c>
      <c r="I57" s="9">
        <f t="shared" si="1"/>
        <v>19.169999999999998</v>
      </c>
      <c r="J57" s="8" t="str">
        <f>_xlfn.XLOOKUP(E57,SalesRep!$A$2:$A$26,SalesRep!$B$2:$B$26,0)</f>
        <v>Finley Anderson</v>
      </c>
    </row>
    <row r="58" spans="1:10" x14ac:dyDescent="0.35">
      <c r="A58" s="13">
        <v>45778</v>
      </c>
      <c r="B58" s="14" t="s">
        <v>344</v>
      </c>
      <c r="C58" s="14" t="s">
        <v>254</v>
      </c>
      <c r="D58" s="15">
        <v>6</v>
      </c>
      <c r="E58" s="14" t="s">
        <v>395</v>
      </c>
      <c r="F58" s="8" t="str">
        <f>_xlfn.XLOOKUP(C58,Product!$A$2:$A$46,Product!$B$2:$B$46,0)</f>
        <v>Bluetooth Speaker</v>
      </c>
      <c r="G58" s="8" t="str">
        <f>_xlfn.XLOOKUP(C58,Product!$A$2:$A$46,Product!$C$2:$C$46,0)</f>
        <v>Electronics</v>
      </c>
      <c r="H58" s="9">
        <f>VLOOKUP(C58,Product!A:D,4,FALSE)</f>
        <v>116.51</v>
      </c>
      <c r="I58" s="9">
        <f t="shared" si="1"/>
        <v>699.06000000000006</v>
      </c>
      <c r="J58" s="8" t="str">
        <f>_xlfn.XLOOKUP(E58,SalesRep!$A$2:$A$26,SalesRep!$B$2:$B$26,0)</f>
        <v>Peyton Wright</v>
      </c>
    </row>
    <row r="59" spans="1:10" x14ac:dyDescent="0.35">
      <c r="A59" s="13">
        <v>45778</v>
      </c>
      <c r="B59" s="14" t="s">
        <v>345</v>
      </c>
      <c r="C59" s="14" t="s">
        <v>255</v>
      </c>
      <c r="D59" s="15">
        <v>3</v>
      </c>
      <c r="E59" s="14" t="s">
        <v>396</v>
      </c>
      <c r="F59" s="8" t="str">
        <f>_xlfn.XLOOKUP(C59,Product!$A$2:$A$46,Product!$B$2:$B$46,0)</f>
        <v>Ergonomic Chair</v>
      </c>
      <c r="G59" s="8" t="str">
        <f>_xlfn.XLOOKUP(C59,Product!$A$2:$A$46,Product!$C$2:$C$46,0)</f>
        <v>Furniture</v>
      </c>
      <c r="H59" s="9">
        <f>VLOOKUP(C59,Product!A:D,4,FALSE)</f>
        <v>100.56</v>
      </c>
      <c r="I59" s="9">
        <f t="shared" si="1"/>
        <v>301.68</v>
      </c>
      <c r="J59" s="8" t="str">
        <f>_xlfn.XLOOKUP(E59,SalesRep!$A$2:$A$26,SalesRep!$B$2:$B$26,0)</f>
        <v>Marley Torres</v>
      </c>
    </row>
    <row r="60" spans="1:10" x14ac:dyDescent="0.35">
      <c r="A60" s="13">
        <v>45809</v>
      </c>
      <c r="B60" s="14" t="s">
        <v>346</v>
      </c>
      <c r="C60" s="14" t="s">
        <v>256</v>
      </c>
      <c r="D60" s="15">
        <v>2</v>
      </c>
      <c r="E60" s="14" t="s">
        <v>397</v>
      </c>
      <c r="F60" s="8" t="str">
        <f>_xlfn.XLOOKUP(C60,Product!$A$2:$A$46,Product!$B$2:$B$46,0)</f>
        <v>Standing Desk</v>
      </c>
      <c r="G60" s="8" t="str">
        <f>_xlfn.XLOOKUP(C60,Product!$A$2:$A$46,Product!$C$2:$C$46,0)</f>
        <v>Furniture</v>
      </c>
      <c r="H60" s="9">
        <f>VLOOKUP(C60,Product!A:D,4,FALSE)</f>
        <v>28.63</v>
      </c>
      <c r="I60" s="9">
        <f t="shared" si="1"/>
        <v>57.26</v>
      </c>
      <c r="J60" s="8" t="str">
        <f>_xlfn.XLOOKUP(E60,SalesRep!$A$2:$A$26,SalesRep!$B$2:$B$26,0)</f>
        <v>Hayden Johnson</v>
      </c>
    </row>
    <row r="61" spans="1:10" x14ac:dyDescent="0.35">
      <c r="A61" s="13">
        <v>45809</v>
      </c>
      <c r="B61" s="14" t="s">
        <v>347</v>
      </c>
      <c r="C61" s="14" t="s">
        <v>257</v>
      </c>
      <c r="D61" s="15">
        <v>7</v>
      </c>
      <c r="E61" s="14" t="s">
        <v>398</v>
      </c>
      <c r="F61" s="8" t="str">
        <f>_xlfn.XLOOKUP(C61,Product!$A$2:$A$46,Product!$B$2:$B$46,0)</f>
        <v>Filing Cabinet</v>
      </c>
      <c r="G61" s="8" t="str">
        <f>_xlfn.XLOOKUP(C61,Product!$A$2:$A$46,Product!$C$2:$C$46,0)</f>
        <v>Furniture</v>
      </c>
      <c r="H61" s="9">
        <f>VLOOKUP(C61,Product!A:D,4,FALSE)</f>
        <v>25.09</v>
      </c>
      <c r="I61" s="9">
        <f t="shared" si="1"/>
        <v>175.63</v>
      </c>
      <c r="J61" s="8" t="str">
        <f>_xlfn.XLOOKUP(E61,SalesRep!$A$2:$A$26,SalesRep!$B$2:$B$26,0)</f>
        <v>Finley Garcia</v>
      </c>
    </row>
    <row r="62" spans="1:10" x14ac:dyDescent="0.35">
      <c r="A62" s="13">
        <v>45809</v>
      </c>
      <c r="B62" s="14" t="s">
        <v>348</v>
      </c>
      <c r="C62" s="14" t="s">
        <v>258</v>
      </c>
      <c r="D62" s="15">
        <v>6</v>
      </c>
      <c r="E62" s="14" t="s">
        <v>399</v>
      </c>
      <c r="F62" s="8" t="str">
        <f>_xlfn.XLOOKUP(C62,Product!$A$2:$A$46,Product!$B$2:$B$46,0)</f>
        <v>Bookshelf</v>
      </c>
      <c r="G62" s="8" t="str">
        <f>_xlfn.XLOOKUP(C62,Product!$A$2:$A$46,Product!$C$2:$C$46,0)</f>
        <v>Furniture</v>
      </c>
      <c r="H62" s="9">
        <f>VLOOKUP(C62,Product!A:D,4,FALSE)</f>
        <v>25.27</v>
      </c>
      <c r="I62" s="9">
        <f t="shared" si="1"/>
        <v>151.62</v>
      </c>
      <c r="J62" s="8" t="str">
        <f>_xlfn.XLOOKUP(E62,SalesRep!$A$2:$A$26,SalesRep!$B$2:$B$26,0)</f>
        <v>Drew Thomas</v>
      </c>
    </row>
    <row r="63" spans="1:10" x14ac:dyDescent="0.35">
      <c r="A63" s="13">
        <v>45809</v>
      </c>
      <c r="B63" s="14" t="s">
        <v>349</v>
      </c>
      <c r="C63" s="14" t="s">
        <v>259</v>
      </c>
      <c r="D63" s="15">
        <v>7</v>
      </c>
      <c r="E63" s="14" t="s">
        <v>400</v>
      </c>
      <c r="F63" s="8" t="str">
        <f>_xlfn.XLOOKUP(C63,Product!$A$2:$A$46,Product!$B$2:$B$46,0)</f>
        <v>Footrest</v>
      </c>
      <c r="G63" s="8" t="str">
        <f>_xlfn.XLOOKUP(C63,Product!$A$2:$A$46,Product!$C$2:$C$46,0)</f>
        <v>Furniture</v>
      </c>
      <c r="H63" s="9">
        <f>VLOOKUP(C63,Product!A:D,4,FALSE)</f>
        <v>39.29</v>
      </c>
      <c r="I63" s="9">
        <f t="shared" si="1"/>
        <v>275.02999999999997</v>
      </c>
      <c r="J63" s="8" t="str">
        <f>_xlfn.XLOOKUP(E63,SalesRep!$A$2:$A$26,SalesRep!$B$2:$B$26,0)</f>
        <v>Jules Wilson</v>
      </c>
    </row>
    <row r="64" spans="1:10" x14ac:dyDescent="0.35">
      <c r="A64" s="13">
        <v>45839</v>
      </c>
      <c r="B64" s="14" t="s">
        <v>350</v>
      </c>
      <c r="C64" s="14" t="s">
        <v>260</v>
      </c>
      <c r="D64" s="15">
        <v>10</v>
      </c>
      <c r="E64" s="14" t="s">
        <v>401</v>
      </c>
      <c r="F64" s="8" t="str">
        <f>_xlfn.XLOOKUP(C64,Product!$A$2:$A$46,Product!$B$2:$B$46,0)</f>
        <v>Desk Lamp</v>
      </c>
      <c r="G64" s="8" t="str">
        <f>_xlfn.XLOOKUP(C64,Product!$A$2:$A$46,Product!$C$2:$C$46,0)</f>
        <v>Furniture</v>
      </c>
      <c r="H64" s="9">
        <f>VLOOKUP(C64,Product!A:D,4,FALSE)</f>
        <v>64.87</v>
      </c>
      <c r="I64" s="9">
        <f t="shared" si="1"/>
        <v>648.70000000000005</v>
      </c>
      <c r="J64" s="8" t="str">
        <f>_xlfn.XLOOKUP(E64,SalesRep!$A$2:$A$26,SalesRep!$B$2:$B$26,0)</f>
        <v>Finley Harris</v>
      </c>
    </row>
    <row r="65" spans="1:10" x14ac:dyDescent="0.35">
      <c r="A65" s="13">
        <v>45839</v>
      </c>
      <c r="B65" s="14" t="s">
        <v>351</v>
      </c>
      <c r="C65" s="14" t="s">
        <v>261</v>
      </c>
      <c r="D65" s="15">
        <v>4</v>
      </c>
      <c r="E65" s="14" t="s">
        <v>402</v>
      </c>
      <c r="F65" s="8" t="str">
        <f>_xlfn.XLOOKUP(C65,Product!$A$2:$A$46,Product!$B$2:$B$46,0)</f>
        <v>A4 Copy Paper (500)</v>
      </c>
      <c r="G65" s="8" t="str">
        <f>_xlfn.XLOOKUP(C65,Product!$A$2:$A$46,Product!$C$2:$C$46,0)</f>
        <v>Stationery</v>
      </c>
      <c r="H65" s="9">
        <f>VLOOKUP(C65,Product!A:D,4,FALSE)</f>
        <v>54.11</v>
      </c>
      <c r="I65" s="9">
        <f t="shared" ref="I65:I96" si="2">H65*D65</f>
        <v>216.44</v>
      </c>
      <c r="J65" s="8" t="str">
        <f>_xlfn.XLOOKUP(E65,SalesRep!$A$2:$A$26,SalesRep!$B$2:$B$26,0)</f>
        <v>Avery Smith</v>
      </c>
    </row>
    <row r="66" spans="1:10" x14ac:dyDescent="0.35">
      <c r="A66" s="13">
        <v>45839</v>
      </c>
      <c r="B66" s="14" t="s">
        <v>352</v>
      </c>
      <c r="C66" s="14" t="s">
        <v>262</v>
      </c>
      <c r="D66" s="15">
        <v>2</v>
      </c>
      <c r="E66" s="14" t="s">
        <v>403</v>
      </c>
      <c r="F66" s="8" t="str">
        <f>_xlfn.XLOOKUP(C66,Product!$A$2:$A$46,Product!$B$2:$B$46,0)</f>
        <v>Notepad A5</v>
      </c>
      <c r="G66" s="8" t="str">
        <f>_xlfn.XLOOKUP(C66,Product!$A$2:$A$46,Product!$C$2:$C$46,0)</f>
        <v>Stationery</v>
      </c>
      <c r="H66" s="9">
        <f>VLOOKUP(C66,Product!A:D,4,FALSE)</f>
        <v>37.78</v>
      </c>
      <c r="I66" s="9">
        <f t="shared" si="2"/>
        <v>75.56</v>
      </c>
      <c r="J66" s="8" t="str">
        <f>_xlfn.XLOOKUP(E66,SalesRep!$A$2:$A$26,SalesRep!$B$2:$B$26,0)</f>
        <v>Riley Harris</v>
      </c>
    </row>
    <row r="67" spans="1:10" x14ac:dyDescent="0.35">
      <c r="A67" s="13">
        <v>45839</v>
      </c>
      <c r="B67" s="14" t="s">
        <v>353</v>
      </c>
      <c r="C67" s="14" t="s">
        <v>263</v>
      </c>
      <c r="D67" s="15">
        <v>6</v>
      </c>
      <c r="E67" s="14" t="s">
        <v>404</v>
      </c>
      <c r="F67" s="8" t="str">
        <f>_xlfn.XLOOKUP(C67,Product!$A$2:$A$46,Product!$B$2:$B$46,0)</f>
        <v>Gel Pens (10)</v>
      </c>
      <c r="G67" s="8" t="str">
        <f>_xlfn.XLOOKUP(C67,Product!$A$2:$A$46,Product!$C$2:$C$46,0)</f>
        <v>Stationery</v>
      </c>
      <c r="H67" s="9">
        <f>VLOOKUP(C67,Product!A:D,4,FALSE)</f>
        <v>74.97</v>
      </c>
      <c r="I67" s="9">
        <f t="shared" si="2"/>
        <v>449.82</v>
      </c>
      <c r="J67" s="8" t="str">
        <f>_xlfn.XLOOKUP(E67,SalesRep!$A$2:$A$26,SalesRep!$B$2:$B$26,0)</f>
        <v>Reese Smith</v>
      </c>
    </row>
    <row r="68" spans="1:10" x14ac:dyDescent="0.35">
      <c r="A68" s="13">
        <v>45839</v>
      </c>
      <c r="B68" s="14" t="s">
        <v>354</v>
      </c>
      <c r="C68" s="14" t="s">
        <v>264</v>
      </c>
      <c r="D68" s="15">
        <v>4</v>
      </c>
      <c r="E68" s="14" t="s">
        <v>405</v>
      </c>
      <c r="F68" s="8" t="str">
        <f>_xlfn.XLOOKUP(C68,Product!$A$2:$A$46,Product!$B$2:$B$46,0)</f>
        <v>Highlighters (6)</v>
      </c>
      <c r="G68" s="8" t="str">
        <f>_xlfn.XLOOKUP(C68,Product!$A$2:$A$46,Product!$C$2:$C$46,0)</f>
        <v>Stationery</v>
      </c>
      <c r="H68" s="9">
        <f>VLOOKUP(C68,Product!A:D,4,FALSE)</f>
        <v>20.18</v>
      </c>
      <c r="I68" s="9">
        <f t="shared" si="2"/>
        <v>80.72</v>
      </c>
      <c r="J68" s="8" t="str">
        <f>_xlfn.XLOOKUP(E68,SalesRep!$A$2:$A$26,SalesRep!$B$2:$B$26,0)</f>
        <v>Elliot Garcia</v>
      </c>
    </row>
    <row r="69" spans="1:10" x14ac:dyDescent="0.35">
      <c r="A69" s="13">
        <v>45839</v>
      </c>
      <c r="B69" s="14" t="s">
        <v>355</v>
      </c>
      <c r="C69" s="14" t="s">
        <v>265</v>
      </c>
      <c r="D69" s="15">
        <v>6</v>
      </c>
      <c r="E69" s="14" t="s">
        <v>406</v>
      </c>
      <c r="F69" s="8" t="str">
        <f>_xlfn.XLOOKUP(C69,Product!$A$2:$A$46,Product!$B$2:$B$46,0)</f>
        <v>Sticky Notes Pack</v>
      </c>
      <c r="G69" s="8" t="str">
        <f>_xlfn.XLOOKUP(C69,Product!$A$2:$A$46,Product!$C$2:$C$46,0)</f>
        <v>Stationery</v>
      </c>
      <c r="H69" s="9">
        <f>VLOOKUP(C69,Product!A:D,4,FALSE)</f>
        <v>37.89</v>
      </c>
      <c r="I69" s="9">
        <f t="shared" si="2"/>
        <v>227.34</v>
      </c>
      <c r="J69" s="8" t="str">
        <f>_xlfn.XLOOKUP(E69,SalesRep!$A$2:$A$26,SalesRep!$B$2:$B$26,0)</f>
        <v>Skyler Green</v>
      </c>
    </row>
    <row r="70" spans="1:10" x14ac:dyDescent="0.35">
      <c r="A70" s="13">
        <v>45870</v>
      </c>
      <c r="B70" s="14" t="s">
        <v>356</v>
      </c>
      <c r="C70" s="14" t="s">
        <v>266</v>
      </c>
      <c r="D70" s="15">
        <v>7</v>
      </c>
      <c r="E70" s="14" t="s">
        <v>407</v>
      </c>
      <c r="F70" s="8" t="str">
        <f>_xlfn.XLOOKUP(C70,Product!$A$2:$A$46,Product!$B$2:$B$46,0)</f>
        <v>Binder A4</v>
      </c>
      <c r="G70" s="8" t="str">
        <f>_xlfn.XLOOKUP(C70,Product!$A$2:$A$46,Product!$C$2:$C$46,0)</f>
        <v>Stationery</v>
      </c>
      <c r="H70" s="9">
        <f>VLOOKUP(C70,Product!A:D,4,FALSE)</f>
        <v>46.5</v>
      </c>
      <c r="I70" s="9">
        <f t="shared" si="2"/>
        <v>325.5</v>
      </c>
      <c r="J70" s="8" t="str">
        <f>_xlfn.XLOOKUP(E70,SalesRep!$A$2:$A$26,SalesRep!$B$2:$B$26,0)</f>
        <v>Logan Scott</v>
      </c>
    </row>
    <row r="71" spans="1:10" x14ac:dyDescent="0.35">
      <c r="A71" s="13">
        <v>45870</v>
      </c>
      <c r="B71" s="14" t="s">
        <v>357</v>
      </c>
      <c r="C71" s="14" t="s">
        <v>267</v>
      </c>
      <c r="D71" s="15">
        <v>2</v>
      </c>
      <c r="E71" s="14" t="s">
        <v>408</v>
      </c>
      <c r="F71" s="8" t="str">
        <f>_xlfn.XLOOKUP(C71,Product!$A$2:$A$46,Product!$B$2:$B$46,0)</f>
        <v>Mechanical Keyboard</v>
      </c>
      <c r="G71" s="8" t="str">
        <f>_xlfn.XLOOKUP(C71,Product!$A$2:$A$46,Product!$C$2:$C$46,0)</f>
        <v>Computer Accessories</v>
      </c>
      <c r="H71" s="9">
        <f>VLOOKUP(C71,Product!A:D,4,FALSE)</f>
        <v>56.9</v>
      </c>
      <c r="I71" s="9">
        <f t="shared" si="2"/>
        <v>113.8</v>
      </c>
      <c r="J71" s="8" t="str">
        <f>_xlfn.XLOOKUP(E71,SalesRep!$A$2:$A$26,SalesRep!$B$2:$B$26,0)</f>
        <v>Cameron King</v>
      </c>
    </row>
    <row r="72" spans="1:10" x14ac:dyDescent="0.35">
      <c r="A72" s="13">
        <v>45870</v>
      </c>
      <c r="B72" s="14" t="s">
        <v>358</v>
      </c>
      <c r="C72" s="14" t="s">
        <v>268</v>
      </c>
      <c r="D72" s="15">
        <v>7</v>
      </c>
      <c r="E72" s="14" t="s">
        <v>409</v>
      </c>
      <c r="F72" s="8" t="str">
        <f>_xlfn.XLOOKUP(C72,Product!$A$2:$A$46,Product!$B$2:$B$46,0)</f>
        <v>SSD 1TB</v>
      </c>
      <c r="G72" s="8" t="str">
        <f>_xlfn.XLOOKUP(C72,Product!$A$2:$A$46,Product!$C$2:$C$46,0)</f>
        <v>Computer Accessories</v>
      </c>
      <c r="H72" s="9">
        <f>VLOOKUP(C72,Product!A:D,4,FALSE)</f>
        <v>95.08</v>
      </c>
      <c r="I72" s="9">
        <f t="shared" si="2"/>
        <v>665.56</v>
      </c>
      <c r="J72" s="8" t="str">
        <f>_xlfn.XLOOKUP(E72,SalesRep!$A$2:$A$26,SalesRep!$B$2:$B$26,0)</f>
        <v>Casey King</v>
      </c>
    </row>
    <row r="73" spans="1:10" x14ac:dyDescent="0.35">
      <c r="A73" s="13">
        <v>45870</v>
      </c>
      <c r="B73" s="14" t="s">
        <v>359</v>
      </c>
      <c r="C73" s="14" t="s">
        <v>269</v>
      </c>
      <c r="D73" s="15">
        <v>8</v>
      </c>
      <c r="E73" s="14" t="s">
        <v>410</v>
      </c>
      <c r="F73" s="8" t="str">
        <f>_xlfn.XLOOKUP(C73,Product!$A$2:$A$46,Product!$B$2:$B$46,0)</f>
        <v>External HDD 2TB</v>
      </c>
      <c r="G73" s="8" t="str">
        <f>_xlfn.XLOOKUP(C73,Product!$A$2:$A$46,Product!$C$2:$C$46,0)</f>
        <v>Computer Accessories</v>
      </c>
      <c r="H73" s="9">
        <f>VLOOKUP(C73,Product!A:D,4,FALSE)</f>
        <v>27.16</v>
      </c>
      <c r="I73" s="9">
        <f t="shared" si="2"/>
        <v>217.28</v>
      </c>
      <c r="J73" s="8" t="str">
        <f>_xlfn.XLOOKUP(E73,SalesRep!$A$2:$A$26,SalesRep!$B$2:$B$26,0)</f>
        <v>Casey Hall</v>
      </c>
    </row>
    <row r="74" spans="1:10" x14ac:dyDescent="0.35">
      <c r="A74" s="13">
        <v>45901</v>
      </c>
      <c r="B74" s="14" t="s">
        <v>360</v>
      </c>
      <c r="C74" s="14" t="s">
        <v>270</v>
      </c>
      <c r="D74" s="15">
        <v>3</v>
      </c>
      <c r="E74" s="14" t="s">
        <v>411</v>
      </c>
      <c r="F74" s="8" t="str">
        <f>_xlfn.XLOOKUP(C74,Product!$A$2:$A$46,Product!$B$2:$B$46,0)</f>
        <v>RAM 16GB Kit</v>
      </c>
      <c r="G74" s="8" t="str">
        <f>_xlfn.XLOOKUP(C74,Product!$A$2:$A$46,Product!$C$2:$C$46,0)</f>
        <v>Computer Accessories</v>
      </c>
      <c r="H74" s="9">
        <f>VLOOKUP(C74,Product!A:D,4,FALSE)</f>
        <v>63.65</v>
      </c>
      <c r="I74" s="9">
        <f t="shared" si="2"/>
        <v>190.95</v>
      </c>
      <c r="J74" s="8" t="str">
        <f>_xlfn.XLOOKUP(E74,SalesRep!$A$2:$A$26,SalesRep!$B$2:$B$26,0)</f>
        <v>Dakota White</v>
      </c>
    </row>
    <row r="75" spans="1:10" x14ac:dyDescent="0.35">
      <c r="A75" s="13">
        <v>45901</v>
      </c>
      <c r="B75" s="14" t="s">
        <v>361</v>
      </c>
      <c r="C75" s="14" t="s">
        <v>271</v>
      </c>
      <c r="D75" s="15">
        <v>1</v>
      </c>
      <c r="E75" s="14" t="s">
        <v>412</v>
      </c>
      <c r="F75" s="8" t="str">
        <f>_xlfn.XLOOKUP(C75,Product!$A$2:$A$46,Product!$B$2:$B$46,0)</f>
        <v>Graphics Tablet</v>
      </c>
      <c r="G75" s="8" t="str">
        <f>_xlfn.XLOOKUP(C75,Product!$A$2:$A$46,Product!$C$2:$C$46,0)</f>
        <v>Computer Accessories</v>
      </c>
      <c r="H75" s="9">
        <f>VLOOKUP(C75,Product!A:D,4,FALSE)</f>
        <v>72.72</v>
      </c>
      <c r="I75" s="9">
        <f t="shared" si="2"/>
        <v>72.72</v>
      </c>
      <c r="J75" s="8" t="str">
        <f>_xlfn.XLOOKUP(E75,SalesRep!$A$2:$A$26,SalesRep!$B$2:$B$26,0)</f>
        <v>Peyton Torres</v>
      </c>
    </row>
    <row r="76" spans="1:10" x14ac:dyDescent="0.35">
      <c r="A76" s="13">
        <v>45901</v>
      </c>
      <c r="B76" s="14" t="s">
        <v>362</v>
      </c>
      <c r="C76" s="14" t="s">
        <v>272</v>
      </c>
      <c r="D76" s="15">
        <v>3</v>
      </c>
      <c r="E76" s="14" t="s">
        <v>413</v>
      </c>
      <c r="F76" s="8" t="str">
        <f>_xlfn.XLOOKUP(C76,Product!$A$2:$A$46,Product!$B$2:$B$46,0)</f>
        <v>Laptop Stand</v>
      </c>
      <c r="G76" s="8" t="str">
        <f>_xlfn.XLOOKUP(C76,Product!$A$2:$A$46,Product!$C$2:$C$46,0)</f>
        <v>Computer Accessories</v>
      </c>
      <c r="H76" s="9">
        <f>VLOOKUP(C76,Product!A:D,4,FALSE)</f>
        <v>9.39</v>
      </c>
      <c r="I76" s="9">
        <f t="shared" si="2"/>
        <v>28.17</v>
      </c>
      <c r="J76" s="8" t="str">
        <f>_xlfn.XLOOKUP(E76,SalesRep!$A$2:$A$26,SalesRep!$B$2:$B$26,0)</f>
        <v>Shawn Nguyen</v>
      </c>
    </row>
    <row r="77" spans="1:10" x14ac:dyDescent="0.35">
      <c r="A77" s="13">
        <v>45901</v>
      </c>
      <c r="B77" s="14" t="s">
        <v>363</v>
      </c>
      <c r="C77" s="14" t="s">
        <v>273</v>
      </c>
      <c r="D77" s="15">
        <v>5</v>
      </c>
      <c r="E77" s="14" t="s">
        <v>389</v>
      </c>
      <c r="F77" s="8" t="str">
        <f>_xlfn.XLOOKUP(C77,Product!$A$2:$A$46,Product!$B$2:$B$46,0)</f>
        <v>Monitor Stand</v>
      </c>
      <c r="G77" s="8" t="str">
        <f>_xlfn.XLOOKUP(C77,Product!$A$2:$A$46,Product!$C$2:$C$46,0)</f>
        <v>Furniture</v>
      </c>
      <c r="H77" s="9">
        <f>VLOOKUP(C77,Product!A:D,4,FALSE)</f>
        <v>45.99</v>
      </c>
      <c r="I77" s="9">
        <f t="shared" si="2"/>
        <v>229.95000000000002</v>
      </c>
      <c r="J77" s="8" t="str">
        <f>_xlfn.XLOOKUP(E77,SalesRep!$A$2:$A$26,SalesRep!$B$2:$B$26,0)</f>
        <v>Rowan Anderson</v>
      </c>
    </row>
    <row r="78" spans="1:10" x14ac:dyDescent="0.35">
      <c r="A78" s="13">
        <v>45901</v>
      </c>
      <c r="B78" s="14" t="s">
        <v>364</v>
      </c>
      <c r="C78" s="14" t="s">
        <v>274</v>
      </c>
      <c r="D78" s="15">
        <v>5</v>
      </c>
      <c r="E78" s="14" t="s">
        <v>390</v>
      </c>
      <c r="F78" s="8" t="str">
        <f>_xlfn.XLOOKUP(C78,Product!$A$2:$A$46,Product!$B$2:$B$46,0)</f>
        <v>Wireless Keyboard</v>
      </c>
      <c r="G78" s="8" t="str">
        <f>_xlfn.XLOOKUP(C78,Product!$A$2:$A$46,Product!$C$2:$C$46,0)</f>
        <v>Electronics</v>
      </c>
      <c r="H78" s="9">
        <f>VLOOKUP(C78,Product!A:D,4,FALSE)</f>
        <v>79.5</v>
      </c>
      <c r="I78" s="9">
        <f t="shared" si="2"/>
        <v>397.5</v>
      </c>
      <c r="J78" s="8" t="str">
        <f>_xlfn.XLOOKUP(E78,SalesRep!$A$2:$A$26,SalesRep!$B$2:$B$26,0)</f>
        <v>Avery Torres</v>
      </c>
    </row>
    <row r="79" spans="1:10" x14ac:dyDescent="0.35">
      <c r="A79" s="13">
        <v>45931</v>
      </c>
      <c r="B79" s="14" t="s">
        <v>365</v>
      </c>
      <c r="C79" s="14" t="s">
        <v>275</v>
      </c>
      <c r="D79" s="15">
        <v>8</v>
      </c>
      <c r="E79" s="14" t="s">
        <v>391</v>
      </c>
      <c r="F79" s="8" t="str">
        <f>_xlfn.XLOOKUP(C79,Product!$A$2:$A$46,Product!$B$2:$B$46,0)</f>
        <v>Desk Mat</v>
      </c>
      <c r="G79" s="8" t="str">
        <f>_xlfn.XLOOKUP(C79,Product!$A$2:$A$46,Product!$C$2:$C$46,0)</f>
        <v>Office Supplies</v>
      </c>
      <c r="H79" s="9">
        <f>VLOOKUP(C79,Product!A:D,4,FALSE)</f>
        <v>34.25</v>
      </c>
      <c r="I79" s="9">
        <f t="shared" si="2"/>
        <v>274</v>
      </c>
      <c r="J79" s="8" t="str">
        <f>_xlfn.XLOOKUP(E79,SalesRep!$A$2:$A$26,SalesRep!$B$2:$B$26,0)</f>
        <v>Peyton Smith</v>
      </c>
    </row>
    <row r="80" spans="1:10" x14ac:dyDescent="0.35">
      <c r="A80" s="13">
        <v>45931</v>
      </c>
      <c r="B80" s="14" t="s">
        <v>366</v>
      </c>
      <c r="C80" s="14" t="s">
        <v>276</v>
      </c>
      <c r="D80" s="15">
        <v>7</v>
      </c>
      <c r="E80" s="14" t="s">
        <v>392</v>
      </c>
      <c r="F80" s="8" t="str">
        <f>_xlfn.XLOOKUP(C80,Product!$A$2:$A$46,Product!$B$2:$B$46,0)</f>
        <v>Desk Calendar</v>
      </c>
      <c r="G80" s="8" t="str">
        <f>_xlfn.XLOOKUP(C80,Product!$A$2:$A$46,Product!$C$2:$C$46,0)</f>
        <v>Stationery</v>
      </c>
      <c r="H80" s="9">
        <f>VLOOKUP(C80,Product!A:D,4,FALSE)</f>
        <v>18.989999999999998</v>
      </c>
      <c r="I80" s="9">
        <f t="shared" si="2"/>
        <v>132.92999999999998</v>
      </c>
      <c r="J80" s="8" t="str">
        <f>_xlfn.XLOOKUP(E80,SalesRep!$A$2:$A$26,SalesRep!$B$2:$B$26,0)</f>
        <v>Finley Wright</v>
      </c>
    </row>
    <row r="81" spans="1:10" x14ac:dyDescent="0.35">
      <c r="A81" s="13">
        <v>45931</v>
      </c>
      <c r="B81" s="14" t="s">
        <v>367</v>
      </c>
      <c r="C81" s="14" t="s">
        <v>277</v>
      </c>
      <c r="D81" s="15">
        <v>8</v>
      </c>
      <c r="E81" s="14" t="s">
        <v>393</v>
      </c>
      <c r="F81" s="8" t="str">
        <f>_xlfn.XLOOKUP(C81,Product!$A$2:$A$46,Product!$B$2:$B$46,0)</f>
        <v>Document Holder</v>
      </c>
      <c r="G81" s="8" t="str">
        <f>_xlfn.XLOOKUP(C81,Product!$A$2:$A$46,Product!$C$2:$C$46,0)</f>
        <v>Office Supplies</v>
      </c>
      <c r="H81" s="9">
        <f>VLOOKUP(C81,Product!A:D,4,FALSE)</f>
        <v>29.5</v>
      </c>
      <c r="I81" s="9">
        <f t="shared" si="2"/>
        <v>236</v>
      </c>
      <c r="J81" s="8" t="str">
        <f>_xlfn.XLOOKUP(E81,SalesRep!$A$2:$A$26,SalesRep!$B$2:$B$26,0)</f>
        <v>Peyton Nguyen</v>
      </c>
    </row>
    <row r="82" spans="1:10" x14ac:dyDescent="0.35">
      <c r="A82" s="13">
        <v>45931</v>
      </c>
      <c r="B82" s="14" t="s">
        <v>368</v>
      </c>
      <c r="C82" s="14" t="s">
        <v>278</v>
      </c>
      <c r="D82" s="15">
        <v>7</v>
      </c>
      <c r="E82" s="14" t="s">
        <v>394</v>
      </c>
      <c r="F82" s="8" t="str">
        <f>_xlfn.XLOOKUP(C82,Product!$A$2:$A$46,Product!$B$2:$B$46,0)</f>
        <v>Cable Management Kit</v>
      </c>
      <c r="G82" s="8" t="str">
        <f>_xlfn.XLOOKUP(C82,Product!$A$2:$A$46,Product!$C$2:$C$46,0)</f>
        <v>Computer Accessories</v>
      </c>
      <c r="H82" s="9">
        <f>VLOOKUP(C82,Product!A:D,4,FALSE)</f>
        <v>24.75</v>
      </c>
      <c r="I82" s="9">
        <f t="shared" si="2"/>
        <v>173.25</v>
      </c>
      <c r="J82" s="8" t="str">
        <f>_xlfn.XLOOKUP(E82,SalesRep!$A$2:$A$26,SalesRep!$B$2:$B$26,0)</f>
        <v>Finley Anderson</v>
      </c>
    </row>
    <row r="83" spans="1:10" x14ac:dyDescent="0.35">
      <c r="A83" s="13">
        <v>45962</v>
      </c>
      <c r="B83" s="14" t="s">
        <v>369</v>
      </c>
      <c r="C83" s="14" t="s">
        <v>279</v>
      </c>
      <c r="D83" s="15">
        <v>2</v>
      </c>
      <c r="E83" s="14" t="s">
        <v>395</v>
      </c>
      <c r="F83" s="8" t="str">
        <f>_xlfn.XLOOKUP(C83,Product!$A$2:$A$46,Product!$B$2:$B$46,0)</f>
        <v>Desk Fan</v>
      </c>
      <c r="G83" s="8" t="str">
        <f>_xlfn.XLOOKUP(C83,Product!$A$2:$A$46,Product!$C$2:$C$46,0)</f>
        <v>Electronics</v>
      </c>
      <c r="H83" s="9">
        <f>VLOOKUP(C83,Product!A:D,4,FALSE)</f>
        <v>42.99</v>
      </c>
      <c r="I83" s="9">
        <f t="shared" si="2"/>
        <v>85.98</v>
      </c>
      <c r="J83" s="8" t="str">
        <f>_xlfn.XLOOKUP(E83,SalesRep!$A$2:$A$26,SalesRep!$B$2:$B$26,0)</f>
        <v>Peyton Wright</v>
      </c>
    </row>
    <row r="84" spans="1:10" x14ac:dyDescent="0.35">
      <c r="A84" s="13">
        <v>45962</v>
      </c>
      <c r="B84" s="14" t="s">
        <v>370</v>
      </c>
      <c r="C84" s="14" t="s">
        <v>280</v>
      </c>
      <c r="D84" s="15">
        <v>6</v>
      </c>
      <c r="E84" s="14" t="s">
        <v>396</v>
      </c>
      <c r="F84" s="8" t="str">
        <f>_xlfn.XLOOKUP(C84,Product!$A$2:$A$46,Product!$B$2:$B$46,0)</f>
        <v>Paper Shredder</v>
      </c>
      <c r="G84" s="8" t="str">
        <f>_xlfn.XLOOKUP(C84,Product!$A$2:$A$46,Product!$C$2:$C$46,0)</f>
        <v>Office Supplies</v>
      </c>
      <c r="H84" s="9">
        <f>VLOOKUP(C84,Product!A:D,4,FALSE)</f>
        <v>89.99</v>
      </c>
      <c r="I84" s="9">
        <f t="shared" si="2"/>
        <v>539.93999999999994</v>
      </c>
      <c r="J84" s="8" t="str">
        <f>_xlfn.XLOOKUP(E84,SalesRep!$A$2:$A$26,SalesRep!$B$2:$B$26,0)</f>
        <v>Marley Torres</v>
      </c>
    </row>
    <row r="85" spans="1:10" x14ac:dyDescent="0.35">
      <c r="A85" s="13">
        <v>45962</v>
      </c>
      <c r="B85" s="14" t="s">
        <v>371</v>
      </c>
      <c r="C85" s="14" t="s">
        <v>281</v>
      </c>
      <c r="D85" s="15">
        <v>9</v>
      </c>
      <c r="E85" s="14" t="s">
        <v>397</v>
      </c>
      <c r="F85" s="8" t="str">
        <f>_xlfn.XLOOKUP(C85,Product!$A$2:$A$46,Product!$B$2:$B$46,0)</f>
        <v>Label Maker</v>
      </c>
      <c r="G85" s="8" t="str">
        <f>_xlfn.XLOOKUP(C85,Product!$A$2:$A$46,Product!$C$2:$C$46,0)</f>
        <v>Office Supplies</v>
      </c>
      <c r="H85" s="9">
        <f>VLOOKUP(C85,Product!A:D,4,FALSE)</f>
        <v>55.25</v>
      </c>
      <c r="I85" s="9">
        <f t="shared" si="2"/>
        <v>497.25</v>
      </c>
      <c r="J85" s="8" t="str">
        <f>_xlfn.XLOOKUP(E85,SalesRep!$A$2:$A$26,SalesRep!$B$2:$B$26,0)</f>
        <v>Hayden Johnson</v>
      </c>
    </row>
    <row r="86" spans="1:10" x14ac:dyDescent="0.35">
      <c r="A86" s="13">
        <v>45962</v>
      </c>
      <c r="B86" s="14" t="s">
        <v>372</v>
      </c>
      <c r="C86" s="14" t="s">
        <v>282</v>
      </c>
      <c r="D86" s="15">
        <v>7</v>
      </c>
      <c r="E86" s="14" t="s">
        <v>398</v>
      </c>
      <c r="F86" s="8" t="str">
        <f>_xlfn.XLOOKUP(C86,Product!$A$2:$A$46,Product!$B$2:$B$46,0)</f>
        <v>Mesh Pencil Cup</v>
      </c>
      <c r="G86" s="8" t="str">
        <f>_xlfn.XLOOKUP(C86,Product!$A$2:$A$46,Product!$C$2:$C$46,0)</f>
        <v>Office Supplies</v>
      </c>
      <c r="H86" s="9">
        <f>VLOOKUP(C86,Product!A:D,4,FALSE)</f>
        <v>12.5</v>
      </c>
      <c r="I86" s="9">
        <f t="shared" si="2"/>
        <v>87.5</v>
      </c>
      <c r="J86" s="8" t="str">
        <f>_xlfn.XLOOKUP(E86,SalesRep!$A$2:$A$26,SalesRep!$B$2:$B$26,0)</f>
        <v>Finley Garcia</v>
      </c>
    </row>
    <row r="87" spans="1:10" x14ac:dyDescent="0.35">
      <c r="A87" s="13">
        <v>45992</v>
      </c>
      <c r="B87" s="14" t="s">
        <v>373</v>
      </c>
      <c r="C87" s="14" t="s">
        <v>283</v>
      </c>
      <c r="D87" s="15">
        <v>4</v>
      </c>
      <c r="E87" s="14" t="s">
        <v>399</v>
      </c>
      <c r="F87" s="8" t="str">
        <f>_xlfn.XLOOKUP(C87,Product!$A$2:$A$46,Product!$B$2:$B$46,0)</f>
        <v>Presentation Clicker</v>
      </c>
      <c r="G87" s="8" t="str">
        <f>_xlfn.XLOOKUP(C87,Product!$A$2:$A$46,Product!$C$2:$C$46,0)</f>
        <v>Electronics</v>
      </c>
      <c r="H87" s="9">
        <f>VLOOKUP(C87,Product!A:D,4,FALSE)</f>
        <v>35.99</v>
      </c>
      <c r="I87" s="9">
        <f t="shared" si="2"/>
        <v>143.96</v>
      </c>
      <c r="J87" s="8" t="str">
        <f>_xlfn.XLOOKUP(E87,SalesRep!$A$2:$A$26,SalesRep!$B$2:$B$26,0)</f>
        <v>Drew Thomas</v>
      </c>
    </row>
    <row r="88" spans="1:10" x14ac:dyDescent="0.35">
      <c r="A88" s="13">
        <v>45992</v>
      </c>
      <c r="B88" s="14" t="s">
        <v>374</v>
      </c>
      <c r="C88" s="14" t="s">
        <v>284</v>
      </c>
      <c r="D88" s="15">
        <v>2</v>
      </c>
      <c r="E88" s="14" t="s">
        <v>400</v>
      </c>
      <c r="F88" s="8" t="str">
        <f>_xlfn.XLOOKUP(C88,Product!$A$2:$A$46,Product!$B$2:$B$46,0)</f>
        <v>Anti-Fatigue Mat</v>
      </c>
      <c r="G88" s="8" t="str">
        <f>_xlfn.XLOOKUP(C88,Product!$A$2:$A$46,Product!$C$2:$C$46,0)</f>
        <v>Furniture</v>
      </c>
      <c r="H88" s="9">
        <f>VLOOKUP(C88,Product!A:D,4,FALSE)</f>
        <v>67.5</v>
      </c>
      <c r="I88" s="9">
        <f t="shared" si="2"/>
        <v>135</v>
      </c>
      <c r="J88" s="8" t="str">
        <f>_xlfn.XLOOKUP(E88,SalesRep!$A$2:$A$26,SalesRep!$B$2:$B$26,0)</f>
        <v>Jules Wilson</v>
      </c>
    </row>
    <row r="89" spans="1:10" x14ac:dyDescent="0.35">
      <c r="A89" s="13">
        <v>45992</v>
      </c>
      <c r="B89" s="14" t="s">
        <v>375</v>
      </c>
      <c r="C89" s="14" t="s">
        <v>285</v>
      </c>
      <c r="D89" s="15">
        <v>4</v>
      </c>
      <c r="E89" s="14" t="s">
        <v>401</v>
      </c>
      <c r="F89" s="8" t="str">
        <f>_xlfn.XLOOKUP(C89,Product!$A$2:$A$46,Product!$B$2:$B$46,0)</f>
        <v>Desk Drawer Organizer</v>
      </c>
      <c r="G89" s="8" t="str">
        <f>_xlfn.XLOOKUP(C89,Product!$A$2:$A$46,Product!$C$2:$C$46,0)</f>
        <v>Office Supplies</v>
      </c>
      <c r="H89" s="9">
        <f>VLOOKUP(C89,Product!A:D,4,FALSE)</f>
        <v>22.75</v>
      </c>
      <c r="I89" s="9">
        <f t="shared" si="2"/>
        <v>91</v>
      </c>
      <c r="J89" s="8" t="str">
        <f>_xlfn.XLOOKUP(E89,SalesRep!$A$2:$A$26,SalesRep!$B$2:$B$26,0)</f>
        <v>Finley Harris</v>
      </c>
    </row>
    <row r="90" spans="1:10" x14ac:dyDescent="0.35">
      <c r="A90" s="13">
        <v>45992</v>
      </c>
      <c r="B90" s="14" t="s">
        <v>376</v>
      </c>
      <c r="C90" s="14" t="s">
        <v>286</v>
      </c>
      <c r="D90" s="15">
        <v>7</v>
      </c>
      <c r="E90" s="14" t="s">
        <v>402</v>
      </c>
      <c r="F90" s="8" t="str">
        <f>_xlfn.XLOOKUP(C90,Product!$A$2:$A$46,Product!$B$2:$B$46,0)</f>
        <v>Whiteboard Markers (12)</v>
      </c>
      <c r="G90" s="8" t="str">
        <f>_xlfn.XLOOKUP(C90,Product!$A$2:$A$46,Product!$C$2:$C$46,0)</f>
        <v>Stationery</v>
      </c>
      <c r="H90" s="9">
        <f>VLOOKUP(C90,Product!A:D,4,FALSE)</f>
        <v>15.99</v>
      </c>
      <c r="I90" s="9">
        <f t="shared" si="2"/>
        <v>111.93</v>
      </c>
      <c r="J90" s="8" t="str">
        <f>_xlfn.XLOOKUP(E90,SalesRep!$A$2:$A$26,SalesRep!$B$2:$B$26,0)</f>
        <v>Avery Smith</v>
      </c>
    </row>
    <row r="91" spans="1:10" x14ac:dyDescent="0.35">
      <c r="A91" s="13">
        <v>45992</v>
      </c>
      <c r="B91" s="14" t="s">
        <v>377</v>
      </c>
      <c r="C91" s="14" t="s">
        <v>287</v>
      </c>
      <c r="D91" s="15">
        <v>9</v>
      </c>
      <c r="E91" s="14" t="s">
        <v>403</v>
      </c>
      <c r="F91" s="8" t="str">
        <f>_xlfn.XLOOKUP(C91,Product!$A$2:$A$46,Product!$B$2:$B$46,0)</f>
        <v>Desk Mat (Large)</v>
      </c>
      <c r="G91" s="8" t="str">
        <f>_xlfn.XLOOKUP(C91,Product!$A$2:$A$46,Product!$C$2:$C$46,0)</f>
        <v>Office Supplies</v>
      </c>
      <c r="H91" s="9">
        <f>VLOOKUP(C91,Product!A:D,4,FALSE)</f>
        <v>109.99</v>
      </c>
      <c r="I91" s="9">
        <f t="shared" si="2"/>
        <v>989.91</v>
      </c>
      <c r="J91" s="8" t="str">
        <f>_xlfn.XLOOKUP(E91,SalesRep!$A$2:$A$26,SalesRep!$B$2:$B$26,0)</f>
        <v>Riley Harris</v>
      </c>
    </row>
    <row r="92" spans="1:10" x14ac:dyDescent="0.35">
      <c r="A92" s="13">
        <v>46023</v>
      </c>
      <c r="B92" s="14" t="s">
        <v>378</v>
      </c>
      <c r="C92" s="14" t="s">
        <v>243</v>
      </c>
      <c r="D92" s="15">
        <v>9</v>
      </c>
      <c r="E92" s="14" t="s">
        <v>404</v>
      </c>
      <c r="F92" s="8" t="str">
        <f>_xlfn.XLOOKUP(C92,Product!$A$2:$A$46,Product!$B$2:$B$46,0)</f>
        <v>Stapler</v>
      </c>
      <c r="G92" s="8" t="str">
        <f>_xlfn.XLOOKUP(C92,Product!$A$2:$A$46,Product!$C$2:$C$46,0)</f>
        <v>Office Supplies</v>
      </c>
      <c r="H92" s="9">
        <f>VLOOKUP(C92,Product!A:D,4,FALSE)</f>
        <v>47.45</v>
      </c>
      <c r="I92" s="9">
        <f t="shared" si="2"/>
        <v>427.05</v>
      </c>
      <c r="J92" s="8" t="str">
        <f>_xlfn.XLOOKUP(E92,SalesRep!$A$2:$A$26,SalesRep!$B$2:$B$26,0)</f>
        <v>Reese Smith</v>
      </c>
    </row>
    <row r="93" spans="1:10" x14ac:dyDescent="0.35">
      <c r="A93" s="13">
        <v>46023</v>
      </c>
      <c r="B93" s="14" t="s">
        <v>379</v>
      </c>
      <c r="C93" s="14" t="s">
        <v>244</v>
      </c>
      <c r="D93" s="15">
        <v>3</v>
      </c>
      <c r="E93" s="14" t="s">
        <v>405</v>
      </c>
      <c r="F93" s="8" t="str">
        <f>_xlfn.XLOOKUP(C93,Product!$A$2:$A$46,Product!$B$2:$B$46,0)</f>
        <v>Paper Clips (100pc)</v>
      </c>
      <c r="G93" s="8" t="str">
        <f>_xlfn.XLOOKUP(C93,Product!$A$2:$A$46,Product!$C$2:$C$46,0)</f>
        <v>Office Supplies</v>
      </c>
      <c r="H93" s="9">
        <f>VLOOKUP(C93,Product!A:D,4,FALSE)</f>
        <v>114.28</v>
      </c>
      <c r="I93" s="9">
        <f t="shared" si="2"/>
        <v>342.84000000000003</v>
      </c>
      <c r="J93" s="8" t="str">
        <f>_xlfn.XLOOKUP(E93,SalesRep!$A$2:$A$26,SalesRep!$B$2:$B$26,0)</f>
        <v>Elliot Garcia</v>
      </c>
    </row>
    <row r="94" spans="1:10" x14ac:dyDescent="0.35">
      <c r="A94" s="13">
        <v>46023</v>
      </c>
      <c r="B94" s="14" t="s">
        <v>380</v>
      </c>
      <c r="C94" s="14" t="s">
        <v>245</v>
      </c>
      <c r="D94" s="15">
        <v>6</v>
      </c>
      <c r="E94" s="14" t="s">
        <v>406</v>
      </c>
      <c r="F94" s="8" t="str">
        <f>_xlfn.XLOOKUP(C94,Product!$A$2:$A$46,Product!$B$2:$B$46,0)</f>
        <v>Desk Organizer</v>
      </c>
      <c r="G94" s="8" t="str">
        <f>_xlfn.XLOOKUP(C94,Product!$A$2:$A$46,Product!$C$2:$C$46,0)</f>
        <v>Office Supplies</v>
      </c>
      <c r="H94" s="9">
        <f>VLOOKUP(C94,Product!A:D,4,FALSE)</f>
        <v>88.91</v>
      </c>
      <c r="I94" s="9">
        <f t="shared" si="2"/>
        <v>533.46</v>
      </c>
      <c r="J94" s="8" t="str">
        <f>_xlfn.XLOOKUP(E94,SalesRep!$A$2:$A$26,SalesRep!$B$2:$B$26,0)</f>
        <v>Skyler Green</v>
      </c>
    </row>
    <row r="95" spans="1:10" x14ac:dyDescent="0.35">
      <c r="A95" s="13">
        <v>46023</v>
      </c>
      <c r="B95" s="14" t="s">
        <v>381</v>
      </c>
      <c r="C95" s="14" t="s">
        <v>246</v>
      </c>
      <c r="D95" s="15">
        <v>6</v>
      </c>
      <c r="E95" s="14" t="s">
        <v>407</v>
      </c>
      <c r="F95" s="8" t="str">
        <f>_xlfn.XLOOKUP(C95,Product!$A$2:$A$46,Product!$B$2:$B$46,0)</f>
        <v>Whiteboard</v>
      </c>
      <c r="G95" s="8" t="str">
        <f>_xlfn.XLOOKUP(C95,Product!$A$2:$A$46,Product!$C$2:$C$46,0)</f>
        <v>Office Supplies</v>
      </c>
      <c r="H95" s="9">
        <f>VLOOKUP(C95,Product!A:D,4,FALSE)</f>
        <v>73.44</v>
      </c>
      <c r="I95" s="9">
        <f t="shared" si="2"/>
        <v>440.64</v>
      </c>
      <c r="J95" s="8" t="str">
        <f>_xlfn.XLOOKUP(E95,SalesRep!$A$2:$A$26,SalesRep!$B$2:$B$26,0)</f>
        <v>Logan Scott</v>
      </c>
    </row>
    <row r="96" spans="1:10" x14ac:dyDescent="0.35">
      <c r="A96" s="13">
        <v>46023</v>
      </c>
      <c r="B96" s="14" t="s">
        <v>382</v>
      </c>
      <c r="C96" s="14" t="s">
        <v>247</v>
      </c>
      <c r="D96" s="15">
        <v>3</v>
      </c>
      <c r="E96" s="14" t="s">
        <v>408</v>
      </c>
      <c r="F96" s="8" t="str">
        <f>_xlfn.XLOOKUP(C96,Product!$A$2:$A$46,Product!$B$2:$B$46,0)</f>
        <v>Hole Punch</v>
      </c>
      <c r="G96" s="8" t="str">
        <f>_xlfn.XLOOKUP(C96,Product!$A$2:$A$46,Product!$C$2:$C$46,0)</f>
        <v>Office Supplies</v>
      </c>
      <c r="H96" s="9">
        <f>VLOOKUP(C96,Product!A:D,4,FALSE)</f>
        <v>22.1</v>
      </c>
      <c r="I96" s="9">
        <f t="shared" si="2"/>
        <v>66.300000000000011</v>
      </c>
      <c r="J96" s="8" t="str">
        <f>_xlfn.XLOOKUP(E96,SalesRep!$A$2:$A$26,SalesRep!$B$2:$B$26,0)</f>
        <v>Cameron King</v>
      </c>
    </row>
    <row r="97" spans="1:10" x14ac:dyDescent="0.35">
      <c r="A97" s="13">
        <v>46054</v>
      </c>
      <c r="B97" s="14" t="s">
        <v>383</v>
      </c>
      <c r="C97" s="14" t="s">
        <v>248</v>
      </c>
      <c r="D97" s="15">
        <v>7</v>
      </c>
      <c r="E97" s="14" t="s">
        <v>409</v>
      </c>
      <c r="F97" s="8" t="str">
        <f>_xlfn.XLOOKUP(C97,Product!$A$2:$A$46,Product!$B$2:$B$46,0)</f>
        <v>Scissors</v>
      </c>
      <c r="G97" s="8" t="str">
        <f>_xlfn.XLOOKUP(C97,Product!$A$2:$A$46,Product!$C$2:$C$46,0)</f>
        <v>Office Supplies</v>
      </c>
      <c r="H97" s="9">
        <f>VLOOKUP(C97,Product!A:D,4,FALSE)</f>
        <v>22.1</v>
      </c>
      <c r="I97" s="9">
        <f t="shared" ref="I97:I101" si="3">H97*D97</f>
        <v>154.70000000000002</v>
      </c>
      <c r="J97" s="8" t="str">
        <f>_xlfn.XLOOKUP(E97,SalesRep!$A$2:$A$26,SalesRep!$B$2:$B$26,0)</f>
        <v>Casey King</v>
      </c>
    </row>
    <row r="98" spans="1:10" x14ac:dyDescent="0.35">
      <c r="A98" s="13">
        <v>46054</v>
      </c>
      <c r="B98" s="14" t="s">
        <v>384</v>
      </c>
      <c r="C98" s="14" t="s">
        <v>249</v>
      </c>
      <c r="D98" s="15">
        <v>6</v>
      </c>
      <c r="E98" s="14" t="s">
        <v>410</v>
      </c>
      <c r="F98" s="8" t="str">
        <f>_xlfn.XLOOKUP(C98,Product!$A$2:$A$46,Product!$B$2:$B$46,0)</f>
        <v>Wireless Mouse</v>
      </c>
      <c r="G98" s="8" t="str">
        <f>_xlfn.XLOOKUP(C98,Product!$A$2:$A$46,Product!$C$2:$C$46,0)</f>
        <v>Electronics</v>
      </c>
      <c r="H98" s="9">
        <f>VLOOKUP(C98,Product!A:D,4,FALSE)</f>
        <v>10.74</v>
      </c>
      <c r="I98" s="9">
        <f t="shared" si="3"/>
        <v>64.44</v>
      </c>
      <c r="J98" s="8" t="str">
        <f>_xlfn.XLOOKUP(E98,SalesRep!$A$2:$A$26,SalesRep!$B$2:$B$26,0)</f>
        <v>Casey Hall</v>
      </c>
    </row>
    <row r="99" spans="1:10" x14ac:dyDescent="0.35">
      <c r="A99" s="13">
        <v>46054</v>
      </c>
      <c r="B99" s="14" t="s">
        <v>385</v>
      </c>
      <c r="C99" s="14" t="s">
        <v>250</v>
      </c>
      <c r="D99" s="15">
        <v>1</v>
      </c>
      <c r="E99" s="14" t="s">
        <v>411</v>
      </c>
      <c r="F99" s="8" t="str">
        <f>_xlfn.XLOOKUP(C99,Product!$A$2:$A$46,Product!$B$2:$B$46,0)</f>
        <v>USB-C Hub</v>
      </c>
      <c r="G99" s="8" t="str">
        <f>_xlfn.XLOOKUP(C99,Product!$A$2:$A$46,Product!$C$2:$C$46,0)</f>
        <v>Electronics</v>
      </c>
      <c r="H99" s="9">
        <f>VLOOKUP(C99,Product!A:D,4,FALSE)</f>
        <v>104.48</v>
      </c>
      <c r="I99" s="9">
        <f t="shared" si="3"/>
        <v>104.48</v>
      </c>
      <c r="J99" s="8" t="str">
        <f>_xlfn.XLOOKUP(E99,SalesRep!$A$2:$A$26,SalesRep!$B$2:$B$26,0)</f>
        <v>Dakota White</v>
      </c>
    </row>
    <row r="100" spans="1:10" x14ac:dyDescent="0.35">
      <c r="A100" s="13">
        <v>46082</v>
      </c>
      <c r="B100" s="14" t="s">
        <v>386</v>
      </c>
      <c r="C100" s="14" t="s">
        <v>251</v>
      </c>
      <c r="D100" s="15">
        <v>10</v>
      </c>
      <c r="E100" s="14" t="s">
        <v>412</v>
      </c>
      <c r="F100" s="8" t="str">
        <f>_xlfn.XLOOKUP(C100,Product!$A$2:$A$46,Product!$B$2:$B$46,0)</f>
        <v>Portable Projector</v>
      </c>
      <c r="G100" s="8" t="str">
        <f>_xlfn.XLOOKUP(C100,Product!$A$2:$A$46,Product!$C$2:$C$46,0)</f>
        <v>Electronics</v>
      </c>
      <c r="H100" s="9">
        <f>VLOOKUP(C100,Product!A:D,4,FALSE)</f>
        <v>73.73</v>
      </c>
      <c r="I100" s="9">
        <f t="shared" si="3"/>
        <v>737.30000000000007</v>
      </c>
      <c r="J100" s="8" t="str">
        <f>_xlfn.XLOOKUP(E100,SalesRep!$A$2:$A$26,SalesRep!$B$2:$B$26,0)</f>
        <v>Peyton Torres</v>
      </c>
    </row>
    <row r="101" spans="1:10" x14ac:dyDescent="0.35">
      <c r="A101" s="13">
        <v>46082</v>
      </c>
      <c r="B101" s="14" t="s">
        <v>387</v>
      </c>
      <c r="C101" s="14" t="s">
        <v>252</v>
      </c>
      <c r="D101" s="15">
        <v>6</v>
      </c>
      <c r="E101" s="14" t="s">
        <v>413</v>
      </c>
      <c r="F101" s="8" t="str">
        <f>_xlfn.XLOOKUP(C101,Product!$A$2:$A$46,Product!$B$2:$B$46,0)</f>
        <v>Noise-Canceling Headphones</v>
      </c>
      <c r="G101" s="8" t="str">
        <f>_xlfn.XLOOKUP(C101,Product!$A$2:$A$46,Product!$C$2:$C$46,0)</f>
        <v>Electronics</v>
      </c>
      <c r="H101" s="9">
        <f>VLOOKUP(C101,Product!A:D,4,FALSE)</f>
        <v>86.14</v>
      </c>
      <c r="I101" s="9">
        <f t="shared" si="3"/>
        <v>516.84</v>
      </c>
      <c r="J101" s="8" t="str">
        <f>_xlfn.XLOOKUP(E101,SalesRep!$A$2:$A$26,SalesRep!$B$2:$B$26,0)</f>
        <v>Shawn Nguyen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82510-75C4-4C24-B9AC-0437F980529F}">
  <dimension ref="A1:D46"/>
  <sheetViews>
    <sheetView workbookViewId="0">
      <selection sqref="A1:D46"/>
    </sheetView>
  </sheetViews>
  <sheetFormatPr defaultRowHeight="14.5" x14ac:dyDescent="0.35"/>
  <cols>
    <col min="1" max="1" width="11.7265625" customWidth="1"/>
    <col min="2" max="2" width="18.81640625" bestFit="1" customWidth="1"/>
    <col min="3" max="3" width="19.36328125" bestFit="1" customWidth="1"/>
    <col min="4" max="4" width="10.90625" customWidth="1"/>
  </cols>
  <sheetData>
    <row r="1" spans="1:4" x14ac:dyDescent="0.35">
      <c r="A1" s="10" t="s">
        <v>2</v>
      </c>
      <c r="B1" s="10" t="s">
        <v>5</v>
      </c>
      <c r="C1" s="10" t="s">
        <v>6</v>
      </c>
      <c r="D1" s="11" t="s">
        <v>7</v>
      </c>
    </row>
    <row r="2" spans="1:4" x14ac:dyDescent="0.35">
      <c r="A2" s="14" t="s">
        <v>243</v>
      </c>
      <c r="B2" s="14" t="s">
        <v>8</v>
      </c>
      <c r="C2" s="14" t="s">
        <v>9</v>
      </c>
      <c r="D2" s="15">
        <v>47.45</v>
      </c>
    </row>
    <row r="3" spans="1:4" x14ac:dyDescent="0.35">
      <c r="A3" s="14" t="s">
        <v>244</v>
      </c>
      <c r="B3" s="14" t="s">
        <v>10</v>
      </c>
      <c r="C3" s="14" t="s">
        <v>9</v>
      </c>
      <c r="D3" s="15">
        <v>114.28</v>
      </c>
    </row>
    <row r="4" spans="1:4" x14ac:dyDescent="0.35">
      <c r="A4" s="14" t="s">
        <v>245</v>
      </c>
      <c r="B4" s="14" t="s">
        <v>11</v>
      </c>
      <c r="C4" s="14" t="s">
        <v>9</v>
      </c>
      <c r="D4" s="15">
        <v>88.91</v>
      </c>
    </row>
    <row r="5" spans="1:4" x14ac:dyDescent="0.35">
      <c r="A5" s="14" t="s">
        <v>246</v>
      </c>
      <c r="B5" s="14" t="s">
        <v>12</v>
      </c>
      <c r="C5" s="14" t="s">
        <v>9</v>
      </c>
      <c r="D5" s="15">
        <v>73.44</v>
      </c>
    </row>
    <row r="6" spans="1:4" x14ac:dyDescent="0.35">
      <c r="A6" s="14" t="s">
        <v>247</v>
      </c>
      <c r="B6" s="14" t="s">
        <v>13</v>
      </c>
      <c r="C6" s="14" t="s">
        <v>9</v>
      </c>
      <c r="D6" s="15">
        <v>22.1</v>
      </c>
    </row>
    <row r="7" spans="1:4" x14ac:dyDescent="0.35">
      <c r="A7" s="14" t="s">
        <v>248</v>
      </c>
      <c r="B7" s="14" t="s">
        <v>14</v>
      </c>
      <c r="C7" s="14" t="s">
        <v>9</v>
      </c>
      <c r="D7" s="15">
        <v>22.1</v>
      </c>
    </row>
    <row r="8" spans="1:4" x14ac:dyDescent="0.35">
      <c r="A8" s="14" t="s">
        <v>249</v>
      </c>
      <c r="B8" s="14" t="s">
        <v>15</v>
      </c>
      <c r="C8" s="14" t="s">
        <v>16</v>
      </c>
      <c r="D8" s="15">
        <v>10.74</v>
      </c>
    </row>
    <row r="9" spans="1:4" x14ac:dyDescent="0.35">
      <c r="A9" s="14" t="s">
        <v>250</v>
      </c>
      <c r="B9" s="14" t="s">
        <v>17</v>
      </c>
      <c r="C9" s="14" t="s">
        <v>16</v>
      </c>
      <c r="D9" s="15">
        <v>104.48</v>
      </c>
    </row>
    <row r="10" spans="1:4" x14ac:dyDescent="0.35">
      <c r="A10" s="14" t="s">
        <v>251</v>
      </c>
      <c r="B10" s="14" t="s">
        <v>18</v>
      </c>
      <c r="C10" s="14" t="s">
        <v>16</v>
      </c>
      <c r="D10" s="15">
        <v>73.73</v>
      </c>
    </row>
    <row r="11" spans="1:4" ht="29" x14ac:dyDescent="0.35">
      <c r="A11" s="14" t="s">
        <v>252</v>
      </c>
      <c r="B11" s="14" t="s">
        <v>19</v>
      </c>
      <c r="C11" s="14" t="s">
        <v>16</v>
      </c>
      <c r="D11" s="15">
        <v>86.14</v>
      </c>
    </row>
    <row r="12" spans="1:4" x14ac:dyDescent="0.35">
      <c r="A12" s="14" t="s">
        <v>253</v>
      </c>
      <c r="B12" s="14" t="s">
        <v>20</v>
      </c>
      <c r="C12" s="14" t="s">
        <v>16</v>
      </c>
      <c r="D12" s="15">
        <v>6.39</v>
      </c>
    </row>
    <row r="13" spans="1:4" x14ac:dyDescent="0.35">
      <c r="A13" s="14" t="s">
        <v>254</v>
      </c>
      <c r="B13" s="14" t="s">
        <v>21</v>
      </c>
      <c r="C13" s="14" t="s">
        <v>16</v>
      </c>
      <c r="D13" s="15">
        <v>116.51</v>
      </c>
    </row>
    <row r="14" spans="1:4" x14ac:dyDescent="0.35">
      <c r="A14" s="14" t="s">
        <v>255</v>
      </c>
      <c r="B14" s="14" t="s">
        <v>22</v>
      </c>
      <c r="C14" s="14" t="s">
        <v>23</v>
      </c>
      <c r="D14" s="15">
        <v>100.56</v>
      </c>
    </row>
    <row r="15" spans="1:4" x14ac:dyDescent="0.35">
      <c r="A15" s="14" t="s">
        <v>256</v>
      </c>
      <c r="B15" s="14" t="s">
        <v>24</v>
      </c>
      <c r="C15" s="14" t="s">
        <v>23</v>
      </c>
      <c r="D15" s="15">
        <v>28.63</v>
      </c>
    </row>
    <row r="16" spans="1:4" x14ac:dyDescent="0.35">
      <c r="A16" s="14" t="s">
        <v>257</v>
      </c>
      <c r="B16" s="14" t="s">
        <v>25</v>
      </c>
      <c r="C16" s="14" t="s">
        <v>23</v>
      </c>
      <c r="D16" s="15">
        <v>25.09</v>
      </c>
    </row>
    <row r="17" spans="1:4" x14ac:dyDescent="0.35">
      <c r="A17" s="14" t="s">
        <v>258</v>
      </c>
      <c r="B17" s="14" t="s">
        <v>26</v>
      </c>
      <c r="C17" s="14" t="s">
        <v>23</v>
      </c>
      <c r="D17" s="15">
        <v>25.27</v>
      </c>
    </row>
    <row r="18" spans="1:4" x14ac:dyDescent="0.35">
      <c r="A18" s="14" t="s">
        <v>259</v>
      </c>
      <c r="B18" s="14" t="s">
        <v>27</v>
      </c>
      <c r="C18" s="14" t="s">
        <v>23</v>
      </c>
      <c r="D18" s="15">
        <v>39.29</v>
      </c>
    </row>
    <row r="19" spans="1:4" x14ac:dyDescent="0.35">
      <c r="A19" s="14" t="s">
        <v>260</v>
      </c>
      <c r="B19" s="14" t="s">
        <v>28</v>
      </c>
      <c r="C19" s="14" t="s">
        <v>23</v>
      </c>
      <c r="D19" s="15">
        <v>64.87</v>
      </c>
    </row>
    <row r="20" spans="1:4" x14ac:dyDescent="0.35">
      <c r="A20" s="14" t="s">
        <v>261</v>
      </c>
      <c r="B20" s="14" t="s">
        <v>29</v>
      </c>
      <c r="C20" s="14" t="s">
        <v>30</v>
      </c>
      <c r="D20" s="15">
        <v>54.11</v>
      </c>
    </row>
    <row r="21" spans="1:4" x14ac:dyDescent="0.35">
      <c r="A21" s="14" t="s">
        <v>262</v>
      </c>
      <c r="B21" s="14" t="s">
        <v>31</v>
      </c>
      <c r="C21" s="14" t="s">
        <v>30</v>
      </c>
      <c r="D21" s="15">
        <v>37.78</v>
      </c>
    </row>
    <row r="22" spans="1:4" x14ac:dyDescent="0.35">
      <c r="A22" s="14" t="s">
        <v>263</v>
      </c>
      <c r="B22" s="14" t="s">
        <v>32</v>
      </c>
      <c r="C22" s="14" t="s">
        <v>30</v>
      </c>
      <c r="D22" s="15">
        <v>74.97</v>
      </c>
    </row>
    <row r="23" spans="1:4" x14ac:dyDescent="0.35">
      <c r="A23" s="14" t="s">
        <v>264</v>
      </c>
      <c r="B23" s="14" t="s">
        <v>33</v>
      </c>
      <c r="C23" s="14" t="s">
        <v>30</v>
      </c>
      <c r="D23" s="15">
        <v>20.18</v>
      </c>
    </row>
    <row r="24" spans="1:4" x14ac:dyDescent="0.35">
      <c r="A24" s="14" t="s">
        <v>265</v>
      </c>
      <c r="B24" s="14" t="s">
        <v>34</v>
      </c>
      <c r="C24" s="14" t="s">
        <v>30</v>
      </c>
      <c r="D24" s="15">
        <v>37.89</v>
      </c>
    </row>
    <row r="25" spans="1:4" x14ac:dyDescent="0.35">
      <c r="A25" s="14" t="s">
        <v>266</v>
      </c>
      <c r="B25" s="14" t="s">
        <v>35</v>
      </c>
      <c r="C25" s="14" t="s">
        <v>30</v>
      </c>
      <c r="D25" s="15">
        <v>46.5</v>
      </c>
    </row>
    <row r="26" spans="1:4" x14ac:dyDescent="0.35">
      <c r="A26" s="14" t="s">
        <v>267</v>
      </c>
      <c r="B26" s="14" t="s">
        <v>36</v>
      </c>
      <c r="C26" s="14" t="s">
        <v>37</v>
      </c>
      <c r="D26" s="15">
        <v>56.9</v>
      </c>
    </row>
    <row r="27" spans="1:4" x14ac:dyDescent="0.35">
      <c r="A27" s="14" t="s">
        <v>268</v>
      </c>
      <c r="B27" s="14" t="s">
        <v>38</v>
      </c>
      <c r="C27" s="14" t="s">
        <v>37</v>
      </c>
      <c r="D27" s="15">
        <v>95.08</v>
      </c>
    </row>
    <row r="28" spans="1:4" x14ac:dyDescent="0.35">
      <c r="A28" s="14" t="s">
        <v>269</v>
      </c>
      <c r="B28" s="14" t="s">
        <v>39</v>
      </c>
      <c r="C28" s="14" t="s">
        <v>37</v>
      </c>
      <c r="D28" s="15">
        <v>27.16</v>
      </c>
    </row>
    <row r="29" spans="1:4" x14ac:dyDescent="0.35">
      <c r="A29" s="14" t="s">
        <v>270</v>
      </c>
      <c r="B29" s="14" t="s">
        <v>40</v>
      </c>
      <c r="C29" s="14" t="s">
        <v>37</v>
      </c>
      <c r="D29" s="15">
        <v>63.65</v>
      </c>
    </row>
    <row r="30" spans="1:4" x14ac:dyDescent="0.35">
      <c r="A30" s="14" t="s">
        <v>271</v>
      </c>
      <c r="B30" s="14" t="s">
        <v>41</v>
      </c>
      <c r="C30" s="14" t="s">
        <v>37</v>
      </c>
      <c r="D30" s="15">
        <v>72.72</v>
      </c>
    </row>
    <row r="31" spans="1:4" x14ac:dyDescent="0.35">
      <c r="A31" s="14" t="s">
        <v>272</v>
      </c>
      <c r="B31" s="14" t="s">
        <v>42</v>
      </c>
      <c r="C31" s="14" t="s">
        <v>37</v>
      </c>
      <c r="D31" s="15">
        <v>9.39</v>
      </c>
    </row>
    <row r="32" spans="1:4" x14ac:dyDescent="0.35">
      <c r="A32" s="14" t="s">
        <v>273</v>
      </c>
      <c r="B32" s="8" t="s">
        <v>90</v>
      </c>
      <c r="C32" s="8" t="s">
        <v>23</v>
      </c>
      <c r="D32" s="16">
        <v>45.99</v>
      </c>
    </row>
    <row r="33" spans="1:4" x14ac:dyDescent="0.35">
      <c r="A33" s="14" t="s">
        <v>274</v>
      </c>
      <c r="B33" s="8" t="s">
        <v>91</v>
      </c>
      <c r="C33" s="8" t="s">
        <v>16</v>
      </c>
      <c r="D33" s="16">
        <v>79.5</v>
      </c>
    </row>
    <row r="34" spans="1:4" x14ac:dyDescent="0.35">
      <c r="A34" s="14" t="s">
        <v>275</v>
      </c>
      <c r="B34" s="8" t="s">
        <v>92</v>
      </c>
      <c r="C34" s="8" t="s">
        <v>9</v>
      </c>
      <c r="D34" s="16">
        <v>34.25</v>
      </c>
    </row>
    <row r="35" spans="1:4" x14ac:dyDescent="0.35">
      <c r="A35" s="14" t="s">
        <v>276</v>
      </c>
      <c r="B35" s="8" t="s">
        <v>93</v>
      </c>
      <c r="C35" s="8" t="s">
        <v>30</v>
      </c>
      <c r="D35" s="9">
        <v>18.989999999999998</v>
      </c>
    </row>
    <row r="36" spans="1:4" x14ac:dyDescent="0.35">
      <c r="A36" s="14" t="s">
        <v>277</v>
      </c>
      <c r="B36" s="8" t="s">
        <v>94</v>
      </c>
      <c r="C36" s="8" t="s">
        <v>9</v>
      </c>
      <c r="D36" s="9">
        <v>29.5</v>
      </c>
    </row>
    <row r="37" spans="1:4" x14ac:dyDescent="0.35">
      <c r="A37" s="14" t="s">
        <v>278</v>
      </c>
      <c r="B37" s="8" t="s">
        <v>95</v>
      </c>
      <c r="C37" s="8" t="s">
        <v>37</v>
      </c>
      <c r="D37" s="9">
        <v>24.75</v>
      </c>
    </row>
    <row r="38" spans="1:4" x14ac:dyDescent="0.35">
      <c r="A38" s="14" t="s">
        <v>279</v>
      </c>
      <c r="B38" s="8" t="s">
        <v>96</v>
      </c>
      <c r="C38" s="8" t="s">
        <v>16</v>
      </c>
      <c r="D38" s="9">
        <v>42.99</v>
      </c>
    </row>
    <row r="39" spans="1:4" x14ac:dyDescent="0.35">
      <c r="A39" s="14" t="s">
        <v>280</v>
      </c>
      <c r="B39" s="8" t="s">
        <v>97</v>
      </c>
      <c r="C39" s="8" t="s">
        <v>9</v>
      </c>
      <c r="D39" s="9">
        <v>89.99</v>
      </c>
    </row>
    <row r="40" spans="1:4" x14ac:dyDescent="0.35">
      <c r="A40" s="14" t="s">
        <v>281</v>
      </c>
      <c r="B40" s="8" t="s">
        <v>98</v>
      </c>
      <c r="C40" s="8" t="s">
        <v>9</v>
      </c>
      <c r="D40" s="9">
        <v>55.25</v>
      </c>
    </row>
    <row r="41" spans="1:4" x14ac:dyDescent="0.35">
      <c r="A41" s="14" t="s">
        <v>282</v>
      </c>
      <c r="B41" s="8" t="s">
        <v>99</v>
      </c>
      <c r="C41" s="8" t="s">
        <v>9</v>
      </c>
      <c r="D41" s="9">
        <v>12.5</v>
      </c>
    </row>
    <row r="42" spans="1:4" x14ac:dyDescent="0.35">
      <c r="A42" s="14" t="s">
        <v>283</v>
      </c>
      <c r="B42" s="8" t="s">
        <v>100</v>
      </c>
      <c r="C42" s="8" t="s">
        <v>16</v>
      </c>
      <c r="D42" s="9">
        <v>35.99</v>
      </c>
    </row>
    <row r="43" spans="1:4" x14ac:dyDescent="0.35">
      <c r="A43" s="14" t="s">
        <v>284</v>
      </c>
      <c r="B43" s="8" t="s">
        <v>101</v>
      </c>
      <c r="C43" s="8" t="s">
        <v>23</v>
      </c>
      <c r="D43" s="9">
        <v>67.5</v>
      </c>
    </row>
    <row r="44" spans="1:4" x14ac:dyDescent="0.35">
      <c r="A44" s="14" t="s">
        <v>285</v>
      </c>
      <c r="B44" s="8" t="s">
        <v>102</v>
      </c>
      <c r="C44" s="8" t="s">
        <v>9</v>
      </c>
      <c r="D44" s="9">
        <v>22.75</v>
      </c>
    </row>
    <row r="45" spans="1:4" x14ac:dyDescent="0.35">
      <c r="A45" s="14" t="s">
        <v>286</v>
      </c>
      <c r="B45" s="8" t="s">
        <v>103</v>
      </c>
      <c r="C45" s="8" t="s">
        <v>30</v>
      </c>
      <c r="D45" s="9">
        <v>15.99</v>
      </c>
    </row>
    <row r="46" spans="1:4" x14ac:dyDescent="0.35">
      <c r="A46" s="14" t="s">
        <v>287</v>
      </c>
      <c r="B46" s="8" t="s">
        <v>388</v>
      </c>
      <c r="C46" s="8" t="s">
        <v>9</v>
      </c>
      <c r="D46" s="9">
        <v>109.99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AD9BC-1ABA-4601-A260-D400D2482131}">
  <dimension ref="A1:D26"/>
  <sheetViews>
    <sheetView topLeftCell="A10" workbookViewId="0">
      <selection sqref="A1:D26"/>
    </sheetView>
  </sheetViews>
  <sheetFormatPr defaultRowHeight="14.5" x14ac:dyDescent="0.35"/>
  <cols>
    <col min="1" max="1" width="12.90625" customWidth="1"/>
    <col min="2" max="2" width="19.90625" customWidth="1"/>
    <col min="3" max="3" width="8.453125" customWidth="1"/>
    <col min="4" max="4" width="11" bestFit="1" customWidth="1"/>
  </cols>
  <sheetData>
    <row r="1" spans="1:4" x14ac:dyDescent="0.35">
      <c r="A1" s="10" t="s">
        <v>4</v>
      </c>
      <c r="B1" s="10" t="s">
        <v>43</v>
      </c>
      <c r="C1" s="10" t="s">
        <v>44</v>
      </c>
      <c r="D1" s="10" t="s">
        <v>45</v>
      </c>
    </row>
    <row r="2" spans="1:4" x14ac:dyDescent="0.35">
      <c r="A2" s="14" t="s">
        <v>389</v>
      </c>
      <c r="B2" s="14" t="s">
        <v>46</v>
      </c>
      <c r="C2" s="14" t="s">
        <v>47</v>
      </c>
      <c r="D2" s="14" t="s">
        <v>48</v>
      </c>
    </row>
    <row r="3" spans="1:4" x14ac:dyDescent="0.35">
      <c r="A3" s="14" t="s">
        <v>390</v>
      </c>
      <c r="B3" s="14" t="s">
        <v>49</v>
      </c>
      <c r="C3" s="14" t="s">
        <v>50</v>
      </c>
      <c r="D3" s="14" t="s">
        <v>51</v>
      </c>
    </row>
    <row r="4" spans="1:4" x14ac:dyDescent="0.35">
      <c r="A4" s="14" t="s">
        <v>391</v>
      </c>
      <c r="B4" s="14" t="s">
        <v>52</v>
      </c>
      <c r="C4" s="14" t="s">
        <v>53</v>
      </c>
      <c r="D4" s="14" t="s">
        <v>54</v>
      </c>
    </row>
    <row r="5" spans="1:4" x14ac:dyDescent="0.35">
      <c r="A5" s="14" t="s">
        <v>392</v>
      </c>
      <c r="B5" s="14" t="s">
        <v>55</v>
      </c>
      <c r="C5" s="14" t="s">
        <v>47</v>
      </c>
      <c r="D5" s="14" t="s">
        <v>56</v>
      </c>
    </row>
    <row r="6" spans="1:4" x14ac:dyDescent="0.35">
      <c r="A6" s="14" t="s">
        <v>393</v>
      </c>
      <c r="B6" s="14" t="s">
        <v>57</v>
      </c>
      <c r="C6" s="14" t="s">
        <v>58</v>
      </c>
      <c r="D6" s="14" t="s">
        <v>59</v>
      </c>
    </row>
    <row r="7" spans="1:4" x14ac:dyDescent="0.35">
      <c r="A7" s="14" t="s">
        <v>394</v>
      </c>
      <c r="B7" s="14" t="s">
        <v>60</v>
      </c>
      <c r="C7" s="14" t="s">
        <v>53</v>
      </c>
      <c r="D7" s="14" t="s">
        <v>61</v>
      </c>
    </row>
    <row r="8" spans="1:4" x14ac:dyDescent="0.35">
      <c r="A8" s="14" t="s">
        <v>395</v>
      </c>
      <c r="B8" s="14" t="s">
        <v>62</v>
      </c>
      <c r="C8" s="14" t="s">
        <v>63</v>
      </c>
      <c r="D8" s="14" t="s">
        <v>64</v>
      </c>
    </row>
    <row r="9" spans="1:4" x14ac:dyDescent="0.35">
      <c r="A9" s="14" t="s">
        <v>396</v>
      </c>
      <c r="B9" s="14" t="s">
        <v>65</v>
      </c>
      <c r="C9" s="14" t="s">
        <v>63</v>
      </c>
      <c r="D9" s="14" t="s">
        <v>64</v>
      </c>
    </row>
    <row r="10" spans="1:4" x14ac:dyDescent="0.35">
      <c r="A10" s="14" t="s">
        <v>397</v>
      </c>
      <c r="B10" s="14" t="s">
        <v>66</v>
      </c>
      <c r="C10" s="14" t="s">
        <v>50</v>
      </c>
      <c r="D10" s="14" t="s">
        <v>67</v>
      </c>
    </row>
    <row r="11" spans="1:4" x14ac:dyDescent="0.35">
      <c r="A11" s="14" t="s">
        <v>398</v>
      </c>
      <c r="B11" s="14" t="s">
        <v>68</v>
      </c>
      <c r="C11" s="14" t="s">
        <v>63</v>
      </c>
      <c r="D11" s="14" t="s">
        <v>69</v>
      </c>
    </row>
    <row r="12" spans="1:4" x14ac:dyDescent="0.35">
      <c r="A12" s="14" t="s">
        <v>399</v>
      </c>
      <c r="B12" s="14" t="s">
        <v>70</v>
      </c>
      <c r="C12" s="14" t="s">
        <v>50</v>
      </c>
      <c r="D12" s="14" t="s">
        <v>51</v>
      </c>
    </row>
    <row r="13" spans="1:4" x14ac:dyDescent="0.35">
      <c r="A13" s="14" t="s">
        <v>400</v>
      </c>
      <c r="B13" s="14" t="s">
        <v>71</v>
      </c>
      <c r="C13" s="14" t="s">
        <v>58</v>
      </c>
      <c r="D13" s="14" t="s">
        <v>72</v>
      </c>
    </row>
    <row r="14" spans="1:4" x14ac:dyDescent="0.35">
      <c r="A14" s="14" t="s">
        <v>401</v>
      </c>
      <c r="B14" s="14" t="s">
        <v>73</v>
      </c>
      <c r="C14" s="14" t="s">
        <v>53</v>
      </c>
      <c r="D14" s="14" t="s">
        <v>74</v>
      </c>
    </row>
    <row r="15" spans="1:4" x14ac:dyDescent="0.35">
      <c r="A15" s="14" t="s">
        <v>402</v>
      </c>
      <c r="B15" s="14" t="s">
        <v>75</v>
      </c>
      <c r="C15" s="14" t="s">
        <v>50</v>
      </c>
      <c r="D15" s="14" t="s">
        <v>67</v>
      </c>
    </row>
    <row r="16" spans="1:4" x14ac:dyDescent="0.35">
      <c r="A16" s="14" t="s">
        <v>403</v>
      </c>
      <c r="B16" s="14" t="s">
        <v>76</v>
      </c>
      <c r="C16" s="14" t="s">
        <v>63</v>
      </c>
      <c r="D16" s="14" t="s">
        <v>69</v>
      </c>
    </row>
    <row r="17" spans="1:4" x14ac:dyDescent="0.35">
      <c r="A17" s="14" t="s">
        <v>404</v>
      </c>
      <c r="B17" s="14" t="s">
        <v>77</v>
      </c>
      <c r="C17" s="14" t="s">
        <v>53</v>
      </c>
      <c r="D17" s="14" t="s">
        <v>74</v>
      </c>
    </row>
    <row r="18" spans="1:4" x14ac:dyDescent="0.35">
      <c r="A18" s="14" t="s">
        <v>405</v>
      </c>
      <c r="B18" s="14" t="s">
        <v>78</v>
      </c>
      <c r="C18" s="14" t="s">
        <v>63</v>
      </c>
      <c r="D18" s="14" t="s">
        <v>64</v>
      </c>
    </row>
    <row r="19" spans="1:4" x14ac:dyDescent="0.35">
      <c r="A19" s="14" t="s">
        <v>406</v>
      </c>
      <c r="B19" s="14" t="s">
        <v>79</v>
      </c>
      <c r="C19" s="14" t="s">
        <v>53</v>
      </c>
      <c r="D19" s="14" t="s">
        <v>54</v>
      </c>
    </row>
    <row r="20" spans="1:4" x14ac:dyDescent="0.35">
      <c r="A20" s="14" t="s">
        <v>407</v>
      </c>
      <c r="B20" s="14" t="s">
        <v>80</v>
      </c>
      <c r="C20" s="14" t="s">
        <v>58</v>
      </c>
      <c r="D20" s="14" t="s">
        <v>81</v>
      </c>
    </row>
    <row r="21" spans="1:4" x14ac:dyDescent="0.35">
      <c r="A21" s="14" t="s">
        <v>408</v>
      </c>
      <c r="B21" s="14" t="s">
        <v>82</v>
      </c>
      <c r="C21" s="14" t="s">
        <v>50</v>
      </c>
      <c r="D21" s="14" t="s">
        <v>67</v>
      </c>
    </row>
    <row r="22" spans="1:4" x14ac:dyDescent="0.35">
      <c r="A22" s="14" t="s">
        <v>409</v>
      </c>
      <c r="B22" s="14" t="s">
        <v>83</v>
      </c>
      <c r="C22" s="14" t="s">
        <v>47</v>
      </c>
      <c r="D22" s="14" t="s">
        <v>56</v>
      </c>
    </row>
    <row r="23" spans="1:4" x14ac:dyDescent="0.35">
      <c r="A23" s="14" t="s">
        <v>410</v>
      </c>
      <c r="B23" s="14" t="s">
        <v>84</v>
      </c>
      <c r="C23" s="14" t="s">
        <v>50</v>
      </c>
      <c r="D23" s="14" t="s">
        <v>85</v>
      </c>
    </row>
    <row r="24" spans="1:4" x14ac:dyDescent="0.35">
      <c r="A24" s="14" t="s">
        <v>411</v>
      </c>
      <c r="B24" s="14" t="s">
        <v>86</v>
      </c>
      <c r="C24" s="14" t="s">
        <v>63</v>
      </c>
      <c r="D24" s="14" t="s">
        <v>64</v>
      </c>
    </row>
    <row r="25" spans="1:4" x14ac:dyDescent="0.35">
      <c r="A25" s="14" t="s">
        <v>412</v>
      </c>
      <c r="B25" s="14" t="s">
        <v>87</v>
      </c>
      <c r="C25" s="14" t="s">
        <v>47</v>
      </c>
      <c r="D25" s="14" t="s">
        <v>88</v>
      </c>
    </row>
    <row r="26" spans="1:4" x14ac:dyDescent="0.35">
      <c r="A26" s="14" t="s">
        <v>413</v>
      </c>
      <c r="B26" s="14" t="s">
        <v>89</v>
      </c>
      <c r="C26" s="14" t="s">
        <v>50</v>
      </c>
      <c r="D26" s="14" t="s">
        <v>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7E9FC-13F0-4D43-96CC-B2D926E63EAA}">
  <dimension ref="A1:K51"/>
  <sheetViews>
    <sheetView topLeftCell="A46" workbookViewId="0">
      <selection activeCell="C8" sqref="C8"/>
    </sheetView>
  </sheetViews>
  <sheetFormatPr defaultRowHeight="14.5" x14ac:dyDescent="0.35"/>
  <cols>
    <col min="1" max="1" width="11.7265625" bestFit="1" customWidth="1"/>
    <col min="2" max="2" width="19.36328125" bestFit="1" customWidth="1"/>
    <col min="3" max="3" width="12.453125" bestFit="1" customWidth="1"/>
    <col min="4" max="4" width="13.453125" bestFit="1" customWidth="1"/>
    <col min="5" max="5" width="16.7265625" bestFit="1" customWidth="1"/>
    <col min="6" max="6" width="13.1796875" bestFit="1" customWidth="1"/>
    <col min="7" max="7" width="14.453125" bestFit="1" customWidth="1"/>
    <col min="8" max="8" width="11.1796875" bestFit="1" customWidth="1"/>
    <col min="9" max="9" width="12" bestFit="1" customWidth="1"/>
    <col min="10" max="10" width="10.81640625" bestFit="1" customWidth="1"/>
    <col min="11" max="11" width="18.90625" bestFit="1" customWidth="1"/>
  </cols>
  <sheetData>
    <row r="1" spans="1:11" x14ac:dyDescent="0.35">
      <c r="A1" s="6" t="s">
        <v>105</v>
      </c>
      <c r="B1" s="6" t="s">
        <v>6</v>
      </c>
      <c r="C1" s="6" t="s">
        <v>106</v>
      </c>
      <c r="D1" s="6" t="s">
        <v>107</v>
      </c>
      <c r="E1" s="6" t="s">
        <v>108</v>
      </c>
      <c r="F1" s="6" t="s">
        <v>109</v>
      </c>
      <c r="G1" s="6" t="s">
        <v>110</v>
      </c>
      <c r="H1" s="6" t="s">
        <v>7</v>
      </c>
      <c r="I1" s="6" t="s">
        <v>111</v>
      </c>
      <c r="J1" s="6" t="s">
        <v>112</v>
      </c>
      <c r="K1" s="6" t="s">
        <v>113</v>
      </c>
    </row>
    <row r="2" spans="1:11" x14ac:dyDescent="0.35">
      <c r="A2" s="7">
        <v>45620</v>
      </c>
      <c r="B2" s="8" t="s">
        <v>23</v>
      </c>
      <c r="C2" s="8" t="s">
        <v>114</v>
      </c>
      <c r="D2" s="8" t="s">
        <v>115</v>
      </c>
      <c r="E2" s="8" t="s">
        <v>116</v>
      </c>
      <c r="F2" s="8" t="s">
        <v>175</v>
      </c>
      <c r="G2" s="8">
        <v>17</v>
      </c>
      <c r="H2" s="9">
        <v>156.47999999999999</v>
      </c>
      <c r="I2" s="9">
        <f t="shared" ref="I2:I33" si="0">G2*H2</f>
        <v>2660.16</v>
      </c>
      <c r="J2" s="9">
        <v>80.37</v>
      </c>
      <c r="K2" s="9">
        <f t="shared" ref="K2:K33" si="1">G2*J2</f>
        <v>1366.29</v>
      </c>
    </row>
    <row r="3" spans="1:11" x14ac:dyDescent="0.35">
      <c r="A3" s="7">
        <v>45459</v>
      </c>
      <c r="B3" s="8" t="s">
        <v>30</v>
      </c>
      <c r="C3" s="8" t="s">
        <v>117</v>
      </c>
      <c r="D3" s="8" t="s">
        <v>118</v>
      </c>
      <c r="E3" s="8" t="s">
        <v>119</v>
      </c>
      <c r="F3" s="8" t="s">
        <v>175</v>
      </c>
      <c r="G3" s="8">
        <v>2</v>
      </c>
      <c r="H3" s="9">
        <v>202.09</v>
      </c>
      <c r="I3" s="9">
        <f t="shared" si="0"/>
        <v>404.18</v>
      </c>
      <c r="J3" s="9">
        <v>146.75</v>
      </c>
      <c r="K3" s="9">
        <f t="shared" si="1"/>
        <v>293.5</v>
      </c>
    </row>
    <row r="4" spans="1:11" x14ac:dyDescent="0.35">
      <c r="A4" s="7">
        <v>45578</v>
      </c>
      <c r="B4" s="8" t="s">
        <v>30</v>
      </c>
      <c r="C4" s="8" t="s">
        <v>117</v>
      </c>
      <c r="D4" s="8" t="s">
        <v>120</v>
      </c>
      <c r="E4" s="8" t="s">
        <v>121</v>
      </c>
      <c r="F4" s="8" t="s">
        <v>176</v>
      </c>
      <c r="G4" s="8">
        <v>13</v>
      </c>
      <c r="H4" s="9">
        <v>91.15</v>
      </c>
      <c r="I4" s="9">
        <f t="shared" si="0"/>
        <v>1184.95</v>
      </c>
      <c r="J4" s="9">
        <v>67.33</v>
      </c>
      <c r="K4" s="9">
        <f t="shared" si="1"/>
        <v>875.29</v>
      </c>
    </row>
    <row r="5" spans="1:11" x14ac:dyDescent="0.35">
      <c r="A5" s="7">
        <v>45537</v>
      </c>
      <c r="B5" s="8" t="s">
        <v>30</v>
      </c>
      <c r="C5" s="8" t="s">
        <v>122</v>
      </c>
      <c r="D5" s="8" t="s">
        <v>123</v>
      </c>
      <c r="E5" s="8" t="s">
        <v>124</v>
      </c>
      <c r="F5" s="8" t="s">
        <v>177</v>
      </c>
      <c r="G5" s="8">
        <v>3</v>
      </c>
      <c r="H5" s="9">
        <v>14.87</v>
      </c>
      <c r="I5" s="9">
        <f t="shared" si="0"/>
        <v>44.61</v>
      </c>
      <c r="J5" s="9">
        <v>9.39</v>
      </c>
      <c r="K5" s="9">
        <f t="shared" si="1"/>
        <v>28.17</v>
      </c>
    </row>
    <row r="6" spans="1:11" x14ac:dyDescent="0.35">
      <c r="A6" s="7">
        <v>45555</v>
      </c>
      <c r="B6" s="8" t="s">
        <v>9</v>
      </c>
      <c r="C6" s="8" t="s">
        <v>8</v>
      </c>
      <c r="D6" s="8" t="s">
        <v>125</v>
      </c>
      <c r="E6" s="8" t="s">
        <v>121</v>
      </c>
      <c r="F6" s="8" t="s">
        <v>178</v>
      </c>
      <c r="G6" s="8">
        <v>14</v>
      </c>
      <c r="H6" s="9">
        <v>129.66</v>
      </c>
      <c r="I6" s="9">
        <f t="shared" si="0"/>
        <v>1815.24</v>
      </c>
      <c r="J6" s="9">
        <v>85.32</v>
      </c>
      <c r="K6" s="9">
        <f t="shared" si="1"/>
        <v>1194.48</v>
      </c>
    </row>
    <row r="7" spans="1:11" x14ac:dyDescent="0.35">
      <c r="A7" s="7">
        <v>45603</v>
      </c>
      <c r="B7" s="8" t="s">
        <v>23</v>
      </c>
      <c r="C7" s="8" t="s">
        <v>126</v>
      </c>
      <c r="D7" s="8" t="s">
        <v>127</v>
      </c>
      <c r="E7" s="8" t="s">
        <v>128</v>
      </c>
      <c r="F7" s="8" t="s">
        <v>179</v>
      </c>
      <c r="G7" s="8">
        <v>2</v>
      </c>
      <c r="H7" s="9">
        <v>111.17</v>
      </c>
      <c r="I7" s="9">
        <f t="shared" si="0"/>
        <v>222.34</v>
      </c>
      <c r="J7" s="9">
        <v>81.69</v>
      </c>
      <c r="K7" s="9">
        <f t="shared" si="1"/>
        <v>163.38</v>
      </c>
    </row>
    <row r="8" spans="1:11" x14ac:dyDescent="0.35">
      <c r="A8" s="7">
        <v>45495</v>
      </c>
      <c r="B8" s="8" t="s">
        <v>16</v>
      </c>
      <c r="C8" s="8" t="s">
        <v>129</v>
      </c>
      <c r="D8" s="8" t="s">
        <v>130</v>
      </c>
      <c r="E8" s="8" t="s">
        <v>131</v>
      </c>
      <c r="F8" s="8" t="s">
        <v>180</v>
      </c>
      <c r="G8" s="8">
        <v>6</v>
      </c>
      <c r="H8" s="9">
        <v>98.68</v>
      </c>
      <c r="I8" s="9">
        <f t="shared" si="0"/>
        <v>592.08000000000004</v>
      </c>
      <c r="J8" s="9">
        <v>63.35</v>
      </c>
      <c r="K8" s="9">
        <f t="shared" si="1"/>
        <v>380.1</v>
      </c>
    </row>
    <row r="9" spans="1:11" x14ac:dyDescent="0.35">
      <c r="A9" s="7">
        <v>45651</v>
      </c>
      <c r="B9" s="8" t="s">
        <v>37</v>
      </c>
      <c r="C9" s="8" t="s">
        <v>132</v>
      </c>
      <c r="D9" s="8" t="s">
        <v>133</v>
      </c>
      <c r="E9" s="8" t="s">
        <v>121</v>
      </c>
      <c r="F9" s="8" t="s">
        <v>181</v>
      </c>
      <c r="G9" s="8">
        <v>10</v>
      </c>
      <c r="H9" s="9">
        <v>194.16</v>
      </c>
      <c r="I9" s="9">
        <f t="shared" si="0"/>
        <v>1941.6</v>
      </c>
      <c r="J9" s="9">
        <v>122.21</v>
      </c>
      <c r="K9" s="9">
        <f t="shared" si="1"/>
        <v>1222.0999999999999</v>
      </c>
    </row>
    <row r="10" spans="1:11" x14ac:dyDescent="0.35">
      <c r="A10" s="7">
        <v>45382</v>
      </c>
      <c r="B10" s="8" t="s">
        <v>9</v>
      </c>
      <c r="C10" s="8" t="s">
        <v>14</v>
      </c>
      <c r="D10" s="8" t="s">
        <v>134</v>
      </c>
      <c r="E10" s="8" t="s">
        <v>135</v>
      </c>
      <c r="F10" s="8" t="s">
        <v>180</v>
      </c>
      <c r="G10" s="8">
        <v>2</v>
      </c>
      <c r="H10" s="9">
        <v>160.37</v>
      </c>
      <c r="I10" s="9">
        <f t="shared" si="0"/>
        <v>320.74</v>
      </c>
      <c r="J10" s="9">
        <v>85.68</v>
      </c>
      <c r="K10" s="9">
        <f t="shared" si="1"/>
        <v>171.36</v>
      </c>
    </row>
    <row r="11" spans="1:11" x14ac:dyDescent="0.35">
      <c r="A11" s="7">
        <v>45367</v>
      </c>
      <c r="B11" s="8" t="s">
        <v>9</v>
      </c>
      <c r="C11" s="8" t="s">
        <v>136</v>
      </c>
      <c r="D11" s="8" t="s">
        <v>137</v>
      </c>
      <c r="E11" s="8" t="s">
        <v>135</v>
      </c>
      <c r="F11" s="8" t="s">
        <v>178</v>
      </c>
      <c r="G11" s="8">
        <v>3</v>
      </c>
      <c r="H11" s="9">
        <v>154.63</v>
      </c>
      <c r="I11" s="9">
        <f t="shared" si="0"/>
        <v>463.89</v>
      </c>
      <c r="J11" s="9">
        <v>117.42</v>
      </c>
      <c r="K11" s="9">
        <f t="shared" si="1"/>
        <v>352.26</v>
      </c>
    </row>
    <row r="12" spans="1:11" x14ac:dyDescent="0.35">
      <c r="A12" s="7">
        <v>45342</v>
      </c>
      <c r="B12" s="8" t="s">
        <v>30</v>
      </c>
      <c r="C12" s="8" t="s">
        <v>138</v>
      </c>
      <c r="D12" s="8" t="s">
        <v>139</v>
      </c>
      <c r="E12" s="8" t="s">
        <v>131</v>
      </c>
      <c r="F12" s="8" t="s">
        <v>179</v>
      </c>
      <c r="G12" s="8">
        <v>11</v>
      </c>
      <c r="H12" s="9">
        <v>173.83</v>
      </c>
      <c r="I12" s="9">
        <f t="shared" si="0"/>
        <v>1912.13</v>
      </c>
      <c r="J12" s="9">
        <v>118.05</v>
      </c>
      <c r="K12" s="9">
        <f t="shared" si="1"/>
        <v>1298.55</v>
      </c>
    </row>
    <row r="13" spans="1:11" x14ac:dyDescent="0.35">
      <c r="A13" s="7">
        <v>45549</v>
      </c>
      <c r="B13" s="8" t="s">
        <v>16</v>
      </c>
      <c r="C13" s="8" t="s">
        <v>129</v>
      </c>
      <c r="D13" s="8" t="s">
        <v>140</v>
      </c>
      <c r="E13" s="8" t="s">
        <v>116</v>
      </c>
      <c r="F13" s="8" t="s">
        <v>179</v>
      </c>
      <c r="G13" s="8">
        <v>2</v>
      </c>
      <c r="H13" s="9">
        <v>105.99</v>
      </c>
      <c r="I13" s="9">
        <f t="shared" si="0"/>
        <v>211.98</v>
      </c>
      <c r="J13" s="9">
        <v>71.08</v>
      </c>
      <c r="K13" s="9">
        <f t="shared" si="1"/>
        <v>142.16</v>
      </c>
    </row>
    <row r="14" spans="1:11" x14ac:dyDescent="0.35">
      <c r="A14" s="7">
        <v>45638</v>
      </c>
      <c r="B14" s="8" t="s">
        <v>9</v>
      </c>
      <c r="C14" s="8" t="s">
        <v>141</v>
      </c>
      <c r="D14" s="8" t="s">
        <v>142</v>
      </c>
      <c r="E14" s="8" t="s">
        <v>119</v>
      </c>
      <c r="F14" s="8" t="s">
        <v>179</v>
      </c>
      <c r="G14" s="8">
        <v>7</v>
      </c>
      <c r="H14" s="9">
        <v>142.16</v>
      </c>
      <c r="I14" s="9">
        <f t="shared" si="0"/>
        <v>995.12</v>
      </c>
      <c r="J14" s="9">
        <v>110.41</v>
      </c>
      <c r="K14" s="9">
        <f t="shared" si="1"/>
        <v>772.87</v>
      </c>
    </row>
    <row r="15" spans="1:11" x14ac:dyDescent="0.35">
      <c r="A15" s="7">
        <v>45428</v>
      </c>
      <c r="B15" s="8" t="s">
        <v>16</v>
      </c>
      <c r="C15" s="8" t="s">
        <v>143</v>
      </c>
      <c r="D15" s="8" t="s">
        <v>144</v>
      </c>
      <c r="E15" s="8" t="s">
        <v>145</v>
      </c>
      <c r="F15" s="8" t="s">
        <v>177</v>
      </c>
      <c r="G15" s="8">
        <v>6</v>
      </c>
      <c r="H15" s="9">
        <v>176.3</v>
      </c>
      <c r="I15" s="9">
        <f t="shared" si="0"/>
        <v>1057.8000000000002</v>
      </c>
      <c r="J15" s="9">
        <v>95.92</v>
      </c>
      <c r="K15" s="9">
        <f t="shared" si="1"/>
        <v>575.52</v>
      </c>
    </row>
    <row r="16" spans="1:11" x14ac:dyDescent="0.35">
      <c r="A16" s="7">
        <v>45597</v>
      </c>
      <c r="B16" s="8" t="s">
        <v>37</v>
      </c>
      <c r="C16" s="8" t="s">
        <v>146</v>
      </c>
      <c r="D16" s="8" t="s">
        <v>147</v>
      </c>
      <c r="E16" s="8" t="s">
        <v>116</v>
      </c>
      <c r="F16" s="8" t="s">
        <v>182</v>
      </c>
      <c r="G16" s="8">
        <v>9</v>
      </c>
      <c r="H16" s="9">
        <v>199.85</v>
      </c>
      <c r="I16" s="9">
        <f t="shared" si="0"/>
        <v>1798.6499999999999</v>
      </c>
      <c r="J16" s="9">
        <v>144.68</v>
      </c>
      <c r="K16" s="9">
        <f t="shared" si="1"/>
        <v>1302.1200000000001</v>
      </c>
    </row>
    <row r="17" spans="1:11" x14ac:dyDescent="0.35">
      <c r="A17" s="7">
        <v>45621</v>
      </c>
      <c r="B17" s="8" t="s">
        <v>37</v>
      </c>
      <c r="C17" s="8" t="s">
        <v>148</v>
      </c>
      <c r="D17" s="8" t="s">
        <v>149</v>
      </c>
      <c r="E17" s="8" t="s">
        <v>124</v>
      </c>
      <c r="F17" s="8" t="s">
        <v>176</v>
      </c>
      <c r="G17" s="8">
        <v>17</v>
      </c>
      <c r="H17" s="9">
        <v>110.45</v>
      </c>
      <c r="I17" s="9">
        <f t="shared" si="0"/>
        <v>1877.65</v>
      </c>
      <c r="J17" s="9">
        <v>81.739999999999995</v>
      </c>
      <c r="K17" s="9">
        <f t="shared" si="1"/>
        <v>1389.58</v>
      </c>
    </row>
    <row r="18" spans="1:11" x14ac:dyDescent="0.35">
      <c r="A18" s="7">
        <v>45571</v>
      </c>
      <c r="B18" s="8" t="s">
        <v>30</v>
      </c>
      <c r="C18" s="8" t="s">
        <v>117</v>
      </c>
      <c r="D18" s="8" t="s">
        <v>118</v>
      </c>
      <c r="E18" s="8" t="s">
        <v>116</v>
      </c>
      <c r="F18" s="8" t="s">
        <v>181</v>
      </c>
      <c r="G18" s="8">
        <v>17</v>
      </c>
      <c r="H18" s="9">
        <v>165.13</v>
      </c>
      <c r="I18" s="9">
        <f t="shared" si="0"/>
        <v>2807.21</v>
      </c>
      <c r="J18" s="9">
        <v>120.97</v>
      </c>
      <c r="K18" s="9">
        <f t="shared" si="1"/>
        <v>2056.4899999999998</v>
      </c>
    </row>
    <row r="19" spans="1:11" x14ac:dyDescent="0.35">
      <c r="A19" s="7">
        <v>45604</v>
      </c>
      <c r="B19" s="8" t="s">
        <v>30</v>
      </c>
      <c r="C19" s="8" t="s">
        <v>117</v>
      </c>
      <c r="D19" s="8" t="s">
        <v>120</v>
      </c>
      <c r="E19" s="8" t="s">
        <v>124</v>
      </c>
      <c r="F19" s="8" t="s">
        <v>182</v>
      </c>
      <c r="G19" s="8">
        <v>4</v>
      </c>
      <c r="H19" s="9">
        <v>94.45</v>
      </c>
      <c r="I19" s="9">
        <f t="shared" si="0"/>
        <v>377.8</v>
      </c>
      <c r="J19" s="9">
        <v>52.95</v>
      </c>
      <c r="K19" s="9">
        <f t="shared" si="1"/>
        <v>211.8</v>
      </c>
    </row>
    <row r="20" spans="1:11" x14ac:dyDescent="0.35">
      <c r="A20" s="7">
        <v>45425</v>
      </c>
      <c r="B20" s="8" t="s">
        <v>37</v>
      </c>
      <c r="C20" s="8" t="s">
        <v>150</v>
      </c>
      <c r="D20" s="8" t="s">
        <v>134</v>
      </c>
      <c r="E20" s="8" t="s">
        <v>124</v>
      </c>
      <c r="F20" s="8" t="s">
        <v>181</v>
      </c>
      <c r="G20" s="8">
        <v>10</v>
      </c>
      <c r="H20" s="9">
        <v>125.17</v>
      </c>
      <c r="I20" s="9">
        <f t="shared" si="0"/>
        <v>1251.7</v>
      </c>
      <c r="J20" s="9">
        <v>82.98</v>
      </c>
      <c r="K20" s="9">
        <f t="shared" si="1"/>
        <v>829.80000000000007</v>
      </c>
    </row>
    <row r="21" spans="1:11" x14ac:dyDescent="0.35">
      <c r="A21" s="7">
        <v>45523</v>
      </c>
      <c r="B21" s="8" t="s">
        <v>30</v>
      </c>
      <c r="C21" s="8" t="s">
        <v>122</v>
      </c>
      <c r="D21" s="8" t="s">
        <v>151</v>
      </c>
      <c r="E21" s="8" t="s">
        <v>131</v>
      </c>
      <c r="F21" s="8" t="s">
        <v>179</v>
      </c>
      <c r="G21" s="8">
        <v>2</v>
      </c>
      <c r="H21" s="9">
        <v>36.33</v>
      </c>
      <c r="I21" s="9">
        <f t="shared" si="0"/>
        <v>72.66</v>
      </c>
      <c r="J21" s="9">
        <v>19.239999999999998</v>
      </c>
      <c r="K21" s="9">
        <f t="shared" si="1"/>
        <v>38.479999999999997</v>
      </c>
    </row>
    <row r="22" spans="1:11" x14ac:dyDescent="0.35">
      <c r="A22" s="7">
        <v>45340</v>
      </c>
      <c r="B22" s="8" t="s">
        <v>30</v>
      </c>
      <c r="C22" s="8" t="s">
        <v>117</v>
      </c>
      <c r="D22" s="8" t="s">
        <v>120</v>
      </c>
      <c r="E22" s="8" t="s">
        <v>152</v>
      </c>
      <c r="F22" s="8" t="s">
        <v>178</v>
      </c>
      <c r="G22" s="8">
        <v>4</v>
      </c>
      <c r="H22" s="9">
        <v>202.03</v>
      </c>
      <c r="I22" s="9">
        <f t="shared" si="0"/>
        <v>808.12</v>
      </c>
      <c r="J22" s="9">
        <v>113.43</v>
      </c>
      <c r="K22" s="9">
        <f t="shared" si="1"/>
        <v>453.72</v>
      </c>
    </row>
    <row r="23" spans="1:11" x14ac:dyDescent="0.35">
      <c r="A23" s="7">
        <v>45369</v>
      </c>
      <c r="B23" s="8" t="s">
        <v>9</v>
      </c>
      <c r="C23" s="8" t="s">
        <v>153</v>
      </c>
      <c r="D23" s="8" t="s">
        <v>154</v>
      </c>
      <c r="E23" s="8" t="s">
        <v>128</v>
      </c>
      <c r="F23" s="8" t="s">
        <v>181</v>
      </c>
      <c r="G23" s="8">
        <v>19</v>
      </c>
      <c r="H23" s="9">
        <v>139.62</v>
      </c>
      <c r="I23" s="9">
        <f t="shared" si="0"/>
        <v>2652.78</v>
      </c>
      <c r="J23" s="9">
        <v>86.7</v>
      </c>
      <c r="K23" s="9">
        <f t="shared" si="1"/>
        <v>1647.3</v>
      </c>
    </row>
    <row r="24" spans="1:11" x14ac:dyDescent="0.35">
      <c r="A24" s="7">
        <v>45305</v>
      </c>
      <c r="B24" s="8" t="s">
        <v>9</v>
      </c>
      <c r="C24" s="8" t="s">
        <v>136</v>
      </c>
      <c r="D24" s="8" t="s">
        <v>155</v>
      </c>
      <c r="E24" s="8" t="s">
        <v>131</v>
      </c>
      <c r="F24" s="8" t="s">
        <v>183</v>
      </c>
      <c r="G24" s="8">
        <v>2</v>
      </c>
      <c r="H24" s="9">
        <v>204.21</v>
      </c>
      <c r="I24" s="9">
        <f t="shared" si="0"/>
        <v>408.42</v>
      </c>
      <c r="J24" s="9">
        <v>133.52000000000001</v>
      </c>
      <c r="K24" s="9">
        <f t="shared" si="1"/>
        <v>267.04000000000002</v>
      </c>
    </row>
    <row r="25" spans="1:11" x14ac:dyDescent="0.35">
      <c r="A25" s="7">
        <v>45391</v>
      </c>
      <c r="B25" s="8" t="s">
        <v>23</v>
      </c>
      <c r="C25" s="8" t="s">
        <v>156</v>
      </c>
      <c r="D25" s="8" t="s">
        <v>157</v>
      </c>
      <c r="E25" s="8" t="s">
        <v>152</v>
      </c>
      <c r="F25" s="8" t="s">
        <v>184</v>
      </c>
      <c r="G25" s="8">
        <v>5</v>
      </c>
      <c r="H25" s="9">
        <v>24.93</v>
      </c>
      <c r="I25" s="9">
        <f t="shared" si="0"/>
        <v>124.65</v>
      </c>
      <c r="J25" s="9">
        <v>19.77</v>
      </c>
      <c r="K25" s="9">
        <f t="shared" si="1"/>
        <v>98.85</v>
      </c>
    </row>
    <row r="26" spans="1:11" x14ac:dyDescent="0.35">
      <c r="A26" s="7">
        <v>45353</v>
      </c>
      <c r="B26" s="8" t="s">
        <v>9</v>
      </c>
      <c r="C26" s="8" t="s">
        <v>14</v>
      </c>
      <c r="D26" s="8" t="s">
        <v>158</v>
      </c>
      <c r="E26" s="8" t="s">
        <v>152</v>
      </c>
      <c r="F26" s="8" t="s">
        <v>181</v>
      </c>
      <c r="G26" s="8">
        <v>3</v>
      </c>
      <c r="H26" s="9">
        <v>178.16</v>
      </c>
      <c r="I26" s="9">
        <f t="shared" si="0"/>
        <v>534.48</v>
      </c>
      <c r="J26" s="9">
        <v>123.61</v>
      </c>
      <c r="K26" s="9">
        <f t="shared" si="1"/>
        <v>370.83</v>
      </c>
    </row>
    <row r="27" spans="1:11" x14ac:dyDescent="0.35">
      <c r="A27" s="7">
        <v>45310</v>
      </c>
      <c r="B27" s="8" t="s">
        <v>30</v>
      </c>
      <c r="C27" s="8" t="s">
        <v>117</v>
      </c>
      <c r="D27" s="8" t="s">
        <v>120</v>
      </c>
      <c r="E27" s="8" t="s">
        <v>159</v>
      </c>
      <c r="F27" s="8" t="s">
        <v>179</v>
      </c>
      <c r="G27" s="8">
        <v>6</v>
      </c>
      <c r="H27" s="9">
        <v>48.57</v>
      </c>
      <c r="I27" s="9">
        <f t="shared" si="0"/>
        <v>291.42</v>
      </c>
      <c r="J27" s="9">
        <v>26.5</v>
      </c>
      <c r="K27" s="9">
        <f t="shared" si="1"/>
        <v>159</v>
      </c>
    </row>
    <row r="28" spans="1:11" x14ac:dyDescent="0.35">
      <c r="A28" s="7">
        <v>45371</v>
      </c>
      <c r="B28" s="8" t="s">
        <v>30</v>
      </c>
      <c r="C28" s="8" t="s">
        <v>138</v>
      </c>
      <c r="D28" s="8" t="s">
        <v>160</v>
      </c>
      <c r="E28" s="8" t="s">
        <v>124</v>
      </c>
      <c r="F28" s="8" t="s">
        <v>180</v>
      </c>
      <c r="G28" s="8">
        <v>12</v>
      </c>
      <c r="H28" s="9">
        <v>175.93</v>
      </c>
      <c r="I28" s="9">
        <f t="shared" si="0"/>
        <v>2111.16</v>
      </c>
      <c r="J28" s="9">
        <v>136.47</v>
      </c>
      <c r="K28" s="9">
        <f t="shared" si="1"/>
        <v>1637.6399999999999</v>
      </c>
    </row>
    <row r="29" spans="1:11" x14ac:dyDescent="0.35">
      <c r="A29" s="7">
        <v>45520</v>
      </c>
      <c r="B29" s="8" t="s">
        <v>23</v>
      </c>
      <c r="C29" s="8" t="s">
        <v>156</v>
      </c>
      <c r="D29" s="8" t="s">
        <v>161</v>
      </c>
      <c r="E29" s="8" t="s">
        <v>152</v>
      </c>
      <c r="F29" s="8" t="s">
        <v>180</v>
      </c>
      <c r="G29" s="8">
        <v>17</v>
      </c>
      <c r="H29" s="9">
        <v>187.66</v>
      </c>
      <c r="I29" s="9">
        <f t="shared" si="0"/>
        <v>3190.22</v>
      </c>
      <c r="J29" s="9">
        <v>130.57</v>
      </c>
      <c r="K29" s="9">
        <f t="shared" si="1"/>
        <v>2219.69</v>
      </c>
    </row>
    <row r="30" spans="1:11" x14ac:dyDescent="0.35">
      <c r="A30" s="7">
        <v>45400</v>
      </c>
      <c r="B30" s="8" t="s">
        <v>23</v>
      </c>
      <c r="C30" s="8" t="s">
        <v>162</v>
      </c>
      <c r="D30" s="8" t="s">
        <v>163</v>
      </c>
      <c r="E30" s="8" t="s">
        <v>119</v>
      </c>
      <c r="F30" s="8" t="s">
        <v>181</v>
      </c>
      <c r="G30" s="8">
        <v>18</v>
      </c>
      <c r="H30" s="9">
        <v>46.9</v>
      </c>
      <c r="I30" s="9">
        <f t="shared" si="0"/>
        <v>844.19999999999993</v>
      </c>
      <c r="J30" s="9">
        <v>24.73</v>
      </c>
      <c r="K30" s="9">
        <f t="shared" si="1"/>
        <v>445.14</v>
      </c>
    </row>
    <row r="31" spans="1:11" x14ac:dyDescent="0.35">
      <c r="A31" s="7">
        <v>45558</v>
      </c>
      <c r="B31" s="8" t="s">
        <v>37</v>
      </c>
      <c r="C31" s="8" t="s">
        <v>148</v>
      </c>
      <c r="D31" s="8" t="s">
        <v>164</v>
      </c>
      <c r="E31" s="8" t="s">
        <v>152</v>
      </c>
      <c r="F31" s="8" t="s">
        <v>184</v>
      </c>
      <c r="G31" s="8">
        <v>11</v>
      </c>
      <c r="H31" s="9">
        <v>158.88999999999999</v>
      </c>
      <c r="I31" s="9">
        <f t="shared" si="0"/>
        <v>1747.79</v>
      </c>
      <c r="J31" s="9">
        <v>91.42</v>
      </c>
      <c r="K31" s="9">
        <f t="shared" si="1"/>
        <v>1005.62</v>
      </c>
    </row>
    <row r="32" spans="1:11" x14ac:dyDescent="0.35">
      <c r="A32" s="7">
        <v>45385</v>
      </c>
      <c r="B32" s="8" t="s">
        <v>37</v>
      </c>
      <c r="C32" s="8" t="s">
        <v>150</v>
      </c>
      <c r="D32" s="8" t="s">
        <v>134</v>
      </c>
      <c r="E32" s="8" t="s">
        <v>159</v>
      </c>
      <c r="F32" s="8" t="s">
        <v>176</v>
      </c>
      <c r="G32" s="8">
        <v>2</v>
      </c>
      <c r="H32" s="9">
        <v>125.09</v>
      </c>
      <c r="I32" s="9">
        <f t="shared" si="0"/>
        <v>250.18</v>
      </c>
      <c r="J32" s="9">
        <v>79.31</v>
      </c>
      <c r="K32" s="9">
        <f t="shared" si="1"/>
        <v>158.62</v>
      </c>
    </row>
    <row r="33" spans="1:11" x14ac:dyDescent="0.35">
      <c r="A33" s="7">
        <v>45417</v>
      </c>
      <c r="B33" s="8" t="s">
        <v>16</v>
      </c>
      <c r="C33" s="8" t="s">
        <v>165</v>
      </c>
      <c r="D33" s="8" t="s">
        <v>166</v>
      </c>
      <c r="E33" s="8" t="s">
        <v>121</v>
      </c>
      <c r="F33" s="8" t="s">
        <v>180</v>
      </c>
      <c r="G33" s="8">
        <v>18</v>
      </c>
      <c r="H33" s="9">
        <v>114.99</v>
      </c>
      <c r="I33" s="9">
        <f t="shared" si="0"/>
        <v>2069.8199999999997</v>
      </c>
      <c r="J33" s="9">
        <v>91.59</v>
      </c>
      <c r="K33" s="9">
        <f t="shared" si="1"/>
        <v>1648.6200000000001</v>
      </c>
    </row>
    <row r="34" spans="1:11" x14ac:dyDescent="0.35">
      <c r="A34" s="7">
        <v>45425</v>
      </c>
      <c r="B34" s="8" t="s">
        <v>23</v>
      </c>
      <c r="C34" s="8" t="s">
        <v>114</v>
      </c>
      <c r="D34" s="8" t="s">
        <v>134</v>
      </c>
      <c r="E34" s="8" t="s">
        <v>121</v>
      </c>
      <c r="F34" s="8" t="s">
        <v>183</v>
      </c>
      <c r="G34" s="8">
        <v>7</v>
      </c>
      <c r="H34" s="9">
        <v>202.19</v>
      </c>
      <c r="I34" s="9">
        <f t="shared" ref="I34:I51" si="2">G34*H34</f>
        <v>1415.33</v>
      </c>
      <c r="J34" s="9">
        <v>108.37</v>
      </c>
      <c r="K34" s="9">
        <f t="shared" ref="K34:K51" si="3">G34*J34</f>
        <v>758.59</v>
      </c>
    </row>
    <row r="35" spans="1:11" x14ac:dyDescent="0.35">
      <c r="A35" s="7">
        <v>45408</v>
      </c>
      <c r="B35" s="8" t="s">
        <v>37</v>
      </c>
      <c r="C35" s="8" t="s">
        <v>146</v>
      </c>
      <c r="D35" s="8" t="s">
        <v>147</v>
      </c>
      <c r="E35" s="8" t="s">
        <v>159</v>
      </c>
      <c r="F35" s="8" t="s">
        <v>176</v>
      </c>
      <c r="G35" s="8">
        <v>5</v>
      </c>
      <c r="H35" s="9">
        <v>187.92</v>
      </c>
      <c r="I35" s="9">
        <f t="shared" si="2"/>
        <v>939.59999999999991</v>
      </c>
      <c r="J35" s="9">
        <v>112.3</v>
      </c>
      <c r="K35" s="9">
        <f t="shared" si="3"/>
        <v>561.5</v>
      </c>
    </row>
    <row r="36" spans="1:11" x14ac:dyDescent="0.35">
      <c r="A36" s="7">
        <v>45649</v>
      </c>
      <c r="B36" s="8" t="s">
        <v>30</v>
      </c>
      <c r="C36" s="8" t="s">
        <v>122</v>
      </c>
      <c r="D36" s="8" t="s">
        <v>123</v>
      </c>
      <c r="E36" s="8" t="s">
        <v>128</v>
      </c>
      <c r="F36" s="8" t="s">
        <v>184</v>
      </c>
      <c r="G36" s="8">
        <v>15</v>
      </c>
      <c r="H36" s="9">
        <v>66.22</v>
      </c>
      <c r="I36" s="9">
        <f t="shared" si="2"/>
        <v>993.3</v>
      </c>
      <c r="J36" s="9">
        <v>52.1</v>
      </c>
      <c r="K36" s="9">
        <f t="shared" si="3"/>
        <v>781.5</v>
      </c>
    </row>
    <row r="37" spans="1:11" x14ac:dyDescent="0.35">
      <c r="A37" s="7">
        <v>45585</v>
      </c>
      <c r="B37" s="8" t="s">
        <v>16</v>
      </c>
      <c r="C37" s="8" t="s">
        <v>167</v>
      </c>
      <c r="D37" s="8" t="s">
        <v>168</v>
      </c>
      <c r="E37" s="8" t="s">
        <v>145</v>
      </c>
      <c r="F37" s="8" t="s">
        <v>181</v>
      </c>
      <c r="G37" s="8">
        <v>12</v>
      </c>
      <c r="H37" s="9">
        <v>14.89</v>
      </c>
      <c r="I37" s="9">
        <f t="shared" si="2"/>
        <v>178.68</v>
      </c>
      <c r="J37" s="9">
        <v>11.7</v>
      </c>
      <c r="K37" s="9">
        <f t="shared" si="3"/>
        <v>140.39999999999998</v>
      </c>
    </row>
    <row r="38" spans="1:11" x14ac:dyDescent="0.35">
      <c r="A38" s="7">
        <v>45550</v>
      </c>
      <c r="B38" s="8" t="s">
        <v>23</v>
      </c>
      <c r="C38" s="8" t="s">
        <v>126</v>
      </c>
      <c r="D38" s="8" t="s">
        <v>127</v>
      </c>
      <c r="E38" s="8" t="s">
        <v>128</v>
      </c>
      <c r="F38" s="8" t="s">
        <v>181</v>
      </c>
      <c r="G38" s="8">
        <v>4</v>
      </c>
      <c r="H38" s="9">
        <v>116.29</v>
      </c>
      <c r="I38" s="9">
        <f t="shared" si="2"/>
        <v>465.16</v>
      </c>
      <c r="J38" s="9">
        <v>75.430000000000007</v>
      </c>
      <c r="K38" s="9">
        <f t="shared" si="3"/>
        <v>301.72000000000003</v>
      </c>
    </row>
    <row r="39" spans="1:11" x14ac:dyDescent="0.35">
      <c r="A39" s="7">
        <v>45630</v>
      </c>
      <c r="B39" s="8" t="s">
        <v>37</v>
      </c>
      <c r="C39" s="8" t="s">
        <v>146</v>
      </c>
      <c r="D39" s="8" t="s">
        <v>147</v>
      </c>
      <c r="E39" s="8" t="s">
        <v>121</v>
      </c>
      <c r="F39" s="8" t="s">
        <v>181</v>
      </c>
      <c r="G39" s="8">
        <v>11</v>
      </c>
      <c r="H39" s="9">
        <v>107.77</v>
      </c>
      <c r="I39" s="9">
        <f t="shared" si="2"/>
        <v>1185.47</v>
      </c>
      <c r="J39" s="9">
        <v>74.47</v>
      </c>
      <c r="K39" s="9">
        <f t="shared" si="3"/>
        <v>819.17</v>
      </c>
    </row>
    <row r="40" spans="1:11" x14ac:dyDescent="0.35">
      <c r="A40" s="7">
        <v>45337</v>
      </c>
      <c r="B40" s="8" t="s">
        <v>37</v>
      </c>
      <c r="C40" s="8" t="s">
        <v>132</v>
      </c>
      <c r="D40" s="8" t="s">
        <v>169</v>
      </c>
      <c r="E40" s="8" t="s">
        <v>124</v>
      </c>
      <c r="F40" s="8" t="s">
        <v>176</v>
      </c>
      <c r="G40" s="8">
        <v>10</v>
      </c>
      <c r="H40" s="9">
        <v>201.16</v>
      </c>
      <c r="I40" s="9">
        <f t="shared" si="2"/>
        <v>2011.6</v>
      </c>
      <c r="J40" s="9">
        <v>106.1</v>
      </c>
      <c r="K40" s="9">
        <f t="shared" si="3"/>
        <v>1061</v>
      </c>
    </row>
    <row r="41" spans="1:11" x14ac:dyDescent="0.35">
      <c r="A41" s="7">
        <v>45446</v>
      </c>
      <c r="B41" s="8" t="s">
        <v>30</v>
      </c>
      <c r="C41" s="8" t="s">
        <v>170</v>
      </c>
      <c r="D41" s="8" t="s">
        <v>168</v>
      </c>
      <c r="E41" s="8" t="s">
        <v>131</v>
      </c>
      <c r="F41" s="8" t="s">
        <v>179</v>
      </c>
      <c r="G41" s="8">
        <v>12</v>
      </c>
      <c r="H41" s="9">
        <v>46.06</v>
      </c>
      <c r="I41" s="9">
        <f t="shared" si="2"/>
        <v>552.72</v>
      </c>
      <c r="J41" s="9">
        <v>29.68</v>
      </c>
      <c r="K41" s="9">
        <f t="shared" si="3"/>
        <v>356.15999999999997</v>
      </c>
    </row>
    <row r="42" spans="1:11" x14ac:dyDescent="0.35">
      <c r="A42" s="7">
        <v>45322</v>
      </c>
      <c r="B42" s="8" t="s">
        <v>9</v>
      </c>
      <c r="C42" s="8" t="s">
        <v>14</v>
      </c>
      <c r="D42" s="8" t="s">
        <v>115</v>
      </c>
      <c r="E42" s="8" t="s">
        <v>124</v>
      </c>
      <c r="F42" s="8" t="s">
        <v>181</v>
      </c>
      <c r="G42" s="8">
        <v>16</v>
      </c>
      <c r="H42" s="9">
        <v>145.51</v>
      </c>
      <c r="I42" s="9">
        <f t="shared" si="2"/>
        <v>2328.16</v>
      </c>
      <c r="J42" s="9">
        <v>79.84</v>
      </c>
      <c r="K42" s="9">
        <f t="shared" si="3"/>
        <v>1277.44</v>
      </c>
    </row>
    <row r="43" spans="1:11" x14ac:dyDescent="0.35">
      <c r="A43" s="7">
        <v>45331</v>
      </c>
      <c r="B43" s="8" t="s">
        <v>30</v>
      </c>
      <c r="C43" s="8" t="s">
        <v>170</v>
      </c>
      <c r="D43" s="8" t="s">
        <v>168</v>
      </c>
      <c r="E43" s="8" t="s">
        <v>131</v>
      </c>
      <c r="F43" s="8" t="s">
        <v>178</v>
      </c>
      <c r="G43" s="8">
        <v>2</v>
      </c>
      <c r="H43" s="9">
        <v>76.44</v>
      </c>
      <c r="I43" s="9">
        <f t="shared" si="2"/>
        <v>152.88</v>
      </c>
      <c r="J43" s="9">
        <v>42.04</v>
      </c>
      <c r="K43" s="9">
        <f t="shared" si="3"/>
        <v>84.08</v>
      </c>
    </row>
    <row r="44" spans="1:11" x14ac:dyDescent="0.35">
      <c r="A44" s="7">
        <v>45628</v>
      </c>
      <c r="B44" s="8" t="s">
        <v>30</v>
      </c>
      <c r="C44" s="8" t="s">
        <v>117</v>
      </c>
      <c r="D44" s="8" t="s">
        <v>118</v>
      </c>
      <c r="E44" s="8" t="s">
        <v>119</v>
      </c>
      <c r="F44" s="8" t="s">
        <v>182</v>
      </c>
      <c r="G44" s="8">
        <v>3</v>
      </c>
      <c r="H44" s="9">
        <v>158.09</v>
      </c>
      <c r="I44" s="9">
        <f t="shared" si="2"/>
        <v>474.27</v>
      </c>
      <c r="J44" s="9">
        <v>125.52</v>
      </c>
      <c r="K44" s="9">
        <f t="shared" si="3"/>
        <v>376.56</v>
      </c>
    </row>
    <row r="45" spans="1:11" x14ac:dyDescent="0.35">
      <c r="A45" s="7">
        <v>45296</v>
      </c>
      <c r="B45" s="8" t="s">
        <v>37</v>
      </c>
      <c r="C45" s="8" t="s">
        <v>132</v>
      </c>
      <c r="D45" s="8" t="s">
        <v>169</v>
      </c>
      <c r="E45" s="8" t="s">
        <v>131</v>
      </c>
      <c r="F45" s="8" t="s">
        <v>184</v>
      </c>
      <c r="G45" s="8">
        <v>2</v>
      </c>
      <c r="H45" s="9">
        <v>80.52</v>
      </c>
      <c r="I45" s="9">
        <f t="shared" si="2"/>
        <v>161.04</v>
      </c>
      <c r="J45" s="9">
        <v>63.53</v>
      </c>
      <c r="K45" s="9">
        <f t="shared" si="3"/>
        <v>127.06</v>
      </c>
    </row>
    <row r="46" spans="1:11" x14ac:dyDescent="0.35">
      <c r="A46" s="7">
        <v>45574</v>
      </c>
      <c r="B46" s="8" t="s">
        <v>9</v>
      </c>
      <c r="C46" s="8" t="s">
        <v>136</v>
      </c>
      <c r="D46" s="8" t="s">
        <v>155</v>
      </c>
      <c r="E46" s="8" t="s">
        <v>119</v>
      </c>
      <c r="F46" s="8" t="s">
        <v>175</v>
      </c>
      <c r="G46" s="8">
        <v>10</v>
      </c>
      <c r="H46" s="9">
        <v>51.64</v>
      </c>
      <c r="I46" s="9">
        <f t="shared" si="2"/>
        <v>516.4</v>
      </c>
      <c r="J46" s="9">
        <v>32.24</v>
      </c>
      <c r="K46" s="9">
        <f t="shared" si="3"/>
        <v>322.40000000000003</v>
      </c>
    </row>
    <row r="47" spans="1:11" x14ac:dyDescent="0.35">
      <c r="A47" s="7">
        <v>45493</v>
      </c>
      <c r="B47" s="8" t="s">
        <v>16</v>
      </c>
      <c r="C47" s="8" t="s">
        <v>171</v>
      </c>
      <c r="D47" s="8" t="s">
        <v>172</v>
      </c>
      <c r="E47" s="8" t="s">
        <v>124</v>
      </c>
      <c r="F47" s="8" t="s">
        <v>181</v>
      </c>
      <c r="G47" s="8">
        <v>10</v>
      </c>
      <c r="H47" s="9">
        <v>206.35</v>
      </c>
      <c r="I47" s="9">
        <f t="shared" si="2"/>
        <v>2063.5</v>
      </c>
      <c r="J47" s="9">
        <v>109.16</v>
      </c>
      <c r="K47" s="9">
        <f t="shared" si="3"/>
        <v>1091.5999999999999</v>
      </c>
    </row>
    <row r="48" spans="1:11" x14ac:dyDescent="0.35">
      <c r="A48" s="7">
        <v>45354</v>
      </c>
      <c r="B48" s="8" t="s">
        <v>37</v>
      </c>
      <c r="C48" s="8" t="s">
        <v>150</v>
      </c>
      <c r="D48" s="8" t="s">
        <v>134</v>
      </c>
      <c r="E48" s="8" t="s">
        <v>131</v>
      </c>
      <c r="F48" s="8" t="s">
        <v>178</v>
      </c>
      <c r="G48" s="8">
        <v>11</v>
      </c>
      <c r="H48" s="9">
        <v>100.77</v>
      </c>
      <c r="I48" s="9">
        <f t="shared" si="2"/>
        <v>1108.47</v>
      </c>
      <c r="J48" s="9">
        <v>74.260000000000005</v>
      </c>
      <c r="K48" s="9">
        <f t="shared" si="3"/>
        <v>816.86</v>
      </c>
    </row>
    <row r="49" spans="1:11" x14ac:dyDescent="0.35">
      <c r="A49" s="7">
        <v>45375</v>
      </c>
      <c r="B49" s="8" t="s">
        <v>9</v>
      </c>
      <c r="C49" s="8" t="s">
        <v>136</v>
      </c>
      <c r="D49" s="8" t="s">
        <v>173</v>
      </c>
      <c r="E49" s="8" t="s">
        <v>159</v>
      </c>
      <c r="F49" s="8" t="s">
        <v>178</v>
      </c>
      <c r="G49" s="8">
        <v>5</v>
      </c>
      <c r="H49" s="9">
        <v>60.78</v>
      </c>
      <c r="I49" s="9">
        <f t="shared" si="2"/>
        <v>303.89999999999998</v>
      </c>
      <c r="J49" s="9">
        <v>37.119999999999997</v>
      </c>
      <c r="K49" s="9">
        <f t="shared" si="3"/>
        <v>185.6</v>
      </c>
    </row>
    <row r="50" spans="1:11" x14ac:dyDescent="0.35">
      <c r="A50" s="7">
        <v>45596</v>
      </c>
      <c r="B50" s="8" t="s">
        <v>30</v>
      </c>
      <c r="C50" s="8" t="s">
        <v>138</v>
      </c>
      <c r="D50" s="8" t="s">
        <v>174</v>
      </c>
      <c r="E50" s="8" t="s">
        <v>121</v>
      </c>
      <c r="F50" s="8" t="s">
        <v>183</v>
      </c>
      <c r="G50" s="8">
        <v>20</v>
      </c>
      <c r="H50" s="9">
        <v>143.30000000000001</v>
      </c>
      <c r="I50" s="9">
        <f t="shared" si="2"/>
        <v>2866</v>
      </c>
      <c r="J50" s="9">
        <v>83.98</v>
      </c>
      <c r="K50" s="9">
        <f t="shared" si="3"/>
        <v>1679.6000000000001</v>
      </c>
    </row>
    <row r="51" spans="1:11" x14ac:dyDescent="0.35">
      <c r="A51" s="7">
        <v>45291</v>
      </c>
      <c r="B51" s="8" t="s">
        <v>37</v>
      </c>
      <c r="C51" s="8" t="s">
        <v>150</v>
      </c>
      <c r="D51" s="8" t="s">
        <v>134</v>
      </c>
      <c r="E51" s="8" t="s">
        <v>159</v>
      </c>
      <c r="F51" s="8" t="s">
        <v>182</v>
      </c>
      <c r="G51" s="8">
        <v>2</v>
      </c>
      <c r="H51" s="9">
        <v>156.24</v>
      </c>
      <c r="I51" s="9">
        <f t="shared" si="2"/>
        <v>312.48</v>
      </c>
      <c r="J51" s="9">
        <v>111.63</v>
      </c>
      <c r="K51" s="9">
        <f t="shared" si="3"/>
        <v>223.26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98DCF-CE1A-47F2-B563-A9FA28F81EB1}">
  <dimension ref="A1:M17"/>
  <sheetViews>
    <sheetView workbookViewId="0">
      <selection activeCell="N1" sqref="N1:N1048576"/>
    </sheetView>
  </sheetViews>
  <sheetFormatPr defaultRowHeight="14.5" x14ac:dyDescent="0.35"/>
  <sheetData>
    <row r="1" spans="1:13" ht="58" x14ac:dyDescent="0.35">
      <c r="A1" s="1" t="s">
        <v>185</v>
      </c>
      <c r="B1" s="3" t="s">
        <v>186</v>
      </c>
      <c r="C1" s="3" t="s">
        <v>187</v>
      </c>
      <c r="D1" s="3" t="s">
        <v>188</v>
      </c>
      <c r="E1" s="3" t="s">
        <v>189</v>
      </c>
      <c r="F1" s="3" t="s">
        <v>190</v>
      </c>
      <c r="G1" s="3" t="s">
        <v>191</v>
      </c>
      <c r="H1" s="3" t="s">
        <v>192</v>
      </c>
      <c r="I1" s="3" t="s">
        <v>193</v>
      </c>
      <c r="J1" s="3" t="s">
        <v>194</v>
      </c>
      <c r="K1" s="3" t="s">
        <v>195</v>
      </c>
      <c r="L1" s="3" t="s">
        <v>196</v>
      </c>
      <c r="M1" s="3" t="s">
        <v>197</v>
      </c>
    </row>
    <row r="2" spans="1:13" ht="29" x14ac:dyDescent="0.35">
      <c r="A2" s="4" t="s">
        <v>198</v>
      </c>
      <c r="B2" s="2">
        <v>638</v>
      </c>
      <c r="C2" s="2">
        <v>634</v>
      </c>
      <c r="D2" s="2">
        <v>679</v>
      </c>
      <c r="E2" s="2">
        <v>702</v>
      </c>
      <c r="F2" s="2">
        <v>688</v>
      </c>
      <c r="G2" s="2">
        <v>721</v>
      </c>
      <c r="H2" s="2">
        <v>745</v>
      </c>
      <c r="I2" s="2">
        <v>732</v>
      </c>
      <c r="J2" s="2">
        <v>710</v>
      </c>
      <c r="K2" s="2">
        <v>768</v>
      </c>
      <c r="L2" s="2">
        <v>781</v>
      </c>
      <c r="M2" s="2">
        <v>805</v>
      </c>
    </row>
    <row r="3" spans="1:13" ht="29" x14ac:dyDescent="0.35">
      <c r="A3" s="4" t="s">
        <v>199</v>
      </c>
      <c r="B3" s="2">
        <v>526</v>
      </c>
      <c r="C3" s="2">
        <v>426</v>
      </c>
      <c r="D3" s="2">
        <v>569</v>
      </c>
      <c r="E3" s="2">
        <v>590</v>
      </c>
      <c r="F3" s="2">
        <v>612</v>
      </c>
      <c r="G3" s="2">
        <v>645</v>
      </c>
      <c r="H3" s="2">
        <v>661</v>
      </c>
      <c r="I3" s="2">
        <v>638</v>
      </c>
      <c r="J3" s="2">
        <v>620</v>
      </c>
      <c r="K3" s="2">
        <v>672</v>
      </c>
      <c r="L3" s="2">
        <v>695</v>
      </c>
      <c r="M3" s="2">
        <v>710</v>
      </c>
    </row>
    <row r="4" spans="1:13" ht="29" x14ac:dyDescent="0.35">
      <c r="A4" s="4" t="s">
        <v>200</v>
      </c>
      <c r="B4" s="2">
        <v>306</v>
      </c>
      <c r="C4" s="2">
        <v>706</v>
      </c>
      <c r="D4" s="2">
        <v>310</v>
      </c>
      <c r="E4" s="2">
        <v>355</v>
      </c>
      <c r="F4" s="2">
        <v>402</v>
      </c>
      <c r="G4" s="2">
        <v>438</v>
      </c>
      <c r="H4" s="2">
        <v>470</v>
      </c>
      <c r="I4" s="2">
        <v>452</v>
      </c>
      <c r="J4" s="2">
        <v>489</v>
      </c>
      <c r="K4" s="2">
        <v>510</v>
      </c>
      <c r="L4" s="2">
        <v>534</v>
      </c>
      <c r="M4" s="2">
        <v>560</v>
      </c>
    </row>
    <row r="5" spans="1:13" ht="29" x14ac:dyDescent="0.35">
      <c r="A5" s="4" t="s">
        <v>201</v>
      </c>
      <c r="B5" s="2">
        <v>548</v>
      </c>
      <c r="C5" s="2">
        <v>185</v>
      </c>
      <c r="D5" s="2">
        <v>331</v>
      </c>
      <c r="E5" s="2">
        <v>390</v>
      </c>
      <c r="F5" s="2">
        <v>425</v>
      </c>
      <c r="G5" s="2">
        <v>460</v>
      </c>
      <c r="H5" s="2">
        <v>488</v>
      </c>
      <c r="I5" s="2">
        <v>512</v>
      </c>
      <c r="J5" s="2">
        <v>536</v>
      </c>
      <c r="K5" s="2">
        <v>558</v>
      </c>
      <c r="L5" s="2">
        <v>579</v>
      </c>
      <c r="M5" s="2">
        <v>601</v>
      </c>
    </row>
    <row r="6" spans="1:13" ht="29" x14ac:dyDescent="0.35">
      <c r="A6" s="4" t="s">
        <v>202</v>
      </c>
      <c r="B6" s="2">
        <v>668</v>
      </c>
      <c r="C6" s="2">
        <v>699</v>
      </c>
      <c r="D6" s="2">
        <v>667</v>
      </c>
      <c r="E6" s="2">
        <v>710</v>
      </c>
      <c r="F6" s="2">
        <v>734</v>
      </c>
      <c r="G6" s="2">
        <v>752</v>
      </c>
      <c r="H6" s="2">
        <v>781</v>
      </c>
      <c r="I6" s="2">
        <v>798</v>
      </c>
      <c r="J6" s="2">
        <v>820</v>
      </c>
      <c r="K6" s="2">
        <v>845</v>
      </c>
      <c r="L6" s="2">
        <v>861</v>
      </c>
      <c r="M6" s="2">
        <v>889</v>
      </c>
    </row>
    <row r="7" spans="1:13" ht="29" x14ac:dyDescent="0.35">
      <c r="A7" s="4" t="s">
        <v>203</v>
      </c>
      <c r="B7" s="2">
        <v>253</v>
      </c>
      <c r="C7" s="2">
        <v>237</v>
      </c>
      <c r="D7" s="2">
        <v>535</v>
      </c>
      <c r="E7" s="2">
        <v>560</v>
      </c>
      <c r="F7" s="2">
        <v>584</v>
      </c>
      <c r="G7" s="2">
        <v>603</v>
      </c>
      <c r="H7" s="2">
        <v>628</v>
      </c>
      <c r="I7" s="2">
        <v>640</v>
      </c>
      <c r="J7" s="2">
        <v>655</v>
      </c>
      <c r="K7" s="2">
        <v>679</v>
      </c>
      <c r="L7" s="2">
        <v>694</v>
      </c>
      <c r="M7" s="2">
        <v>720</v>
      </c>
    </row>
    <row r="8" spans="1:13" ht="29" x14ac:dyDescent="0.35">
      <c r="A8" s="4" t="s">
        <v>204</v>
      </c>
      <c r="B8" s="2">
        <v>282</v>
      </c>
      <c r="C8" s="2">
        <v>329</v>
      </c>
      <c r="D8" s="2">
        <v>668</v>
      </c>
      <c r="E8" s="2">
        <v>690</v>
      </c>
      <c r="F8" s="2">
        <v>712</v>
      </c>
      <c r="G8" s="2">
        <v>734</v>
      </c>
      <c r="H8" s="2">
        <v>760</v>
      </c>
      <c r="I8" s="2">
        <v>785</v>
      </c>
      <c r="J8" s="2">
        <v>801</v>
      </c>
      <c r="K8" s="2">
        <v>824</v>
      </c>
      <c r="L8" s="2">
        <v>846</v>
      </c>
      <c r="M8" s="2">
        <v>870</v>
      </c>
    </row>
    <row r="9" spans="1:13" ht="43.5" x14ac:dyDescent="0.35">
      <c r="A9" s="4" t="s">
        <v>205</v>
      </c>
      <c r="B9" s="2">
        <v>500</v>
      </c>
      <c r="C9" s="2">
        <v>548</v>
      </c>
      <c r="D9" s="2">
        <v>572</v>
      </c>
      <c r="E9" s="2">
        <v>590</v>
      </c>
      <c r="F9" s="2">
        <v>615</v>
      </c>
      <c r="G9" s="2">
        <v>638</v>
      </c>
      <c r="H9" s="2">
        <v>664</v>
      </c>
      <c r="I9" s="2">
        <v>681</v>
      </c>
      <c r="J9" s="2">
        <v>700</v>
      </c>
      <c r="K9" s="2">
        <v>722</v>
      </c>
      <c r="L9" s="2">
        <v>748</v>
      </c>
      <c r="M9" s="2">
        <v>770</v>
      </c>
    </row>
    <row r="10" spans="1:13" ht="29" x14ac:dyDescent="0.35">
      <c r="A10" s="4" t="s">
        <v>206</v>
      </c>
      <c r="B10" s="2">
        <v>209</v>
      </c>
      <c r="C10" s="2">
        <v>524</v>
      </c>
      <c r="D10" s="2">
        <v>346</v>
      </c>
      <c r="E10" s="2">
        <v>365</v>
      </c>
      <c r="F10" s="2">
        <v>390</v>
      </c>
      <c r="G10" s="2">
        <v>420</v>
      </c>
      <c r="H10" s="2">
        <v>444</v>
      </c>
      <c r="I10" s="2">
        <v>462</v>
      </c>
      <c r="J10" s="2">
        <v>485</v>
      </c>
      <c r="K10" s="2">
        <v>510</v>
      </c>
      <c r="L10" s="2">
        <v>526</v>
      </c>
      <c r="M10" s="2">
        <v>548</v>
      </c>
    </row>
    <row r="11" spans="1:13" ht="29" x14ac:dyDescent="0.35">
      <c r="A11" s="4" t="s">
        <v>207</v>
      </c>
      <c r="B11" s="2">
        <v>192</v>
      </c>
      <c r="C11" s="2">
        <v>306</v>
      </c>
      <c r="D11" s="2">
        <v>290</v>
      </c>
      <c r="E11" s="2">
        <v>318</v>
      </c>
      <c r="F11" s="2">
        <v>344</v>
      </c>
      <c r="G11" s="2">
        <v>366</v>
      </c>
      <c r="H11" s="2">
        <v>389</v>
      </c>
      <c r="I11" s="2">
        <v>415</v>
      </c>
      <c r="J11" s="2">
        <v>438</v>
      </c>
      <c r="K11" s="2">
        <v>462</v>
      </c>
      <c r="L11" s="2">
        <v>481</v>
      </c>
      <c r="M11" s="2">
        <v>500</v>
      </c>
    </row>
    <row r="12" spans="1:13" ht="29" x14ac:dyDescent="0.35">
      <c r="A12" s="4" t="s">
        <v>208</v>
      </c>
      <c r="B12" s="2">
        <v>709</v>
      </c>
      <c r="C12" s="2">
        <v>687</v>
      </c>
      <c r="D12" s="2">
        <v>649</v>
      </c>
      <c r="E12" s="2">
        <v>720</v>
      </c>
      <c r="F12" s="2">
        <v>742</v>
      </c>
      <c r="G12" s="2">
        <v>768</v>
      </c>
      <c r="H12" s="2">
        <v>790</v>
      </c>
      <c r="I12" s="2">
        <v>815</v>
      </c>
      <c r="J12" s="2">
        <v>834</v>
      </c>
      <c r="K12" s="2">
        <v>858</v>
      </c>
      <c r="L12" s="2">
        <v>881</v>
      </c>
      <c r="M12" s="2">
        <v>905</v>
      </c>
    </row>
    <row r="13" spans="1:13" ht="29" x14ac:dyDescent="0.35">
      <c r="A13" s="4" t="s">
        <v>209</v>
      </c>
      <c r="B13" s="2">
        <v>386</v>
      </c>
      <c r="C13" s="2">
        <v>293</v>
      </c>
      <c r="D13" s="2">
        <v>717</v>
      </c>
      <c r="E13" s="2">
        <v>742</v>
      </c>
      <c r="F13" s="2">
        <v>766</v>
      </c>
      <c r="G13" s="2">
        <v>788</v>
      </c>
      <c r="H13" s="2">
        <v>812</v>
      </c>
      <c r="I13" s="2">
        <v>836</v>
      </c>
      <c r="J13" s="2">
        <v>860</v>
      </c>
      <c r="K13" s="2">
        <v>885</v>
      </c>
      <c r="L13" s="2">
        <v>910</v>
      </c>
      <c r="M13" s="2">
        <v>934</v>
      </c>
    </row>
    <row r="14" spans="1:13" ht="43.5" x14ac:dyDescent="0.35">
      <c r="A14" s="4" t="s">
        <v>210</v>
      </c>
      <c r="B14" s="2">
        <v>570</v>
      </c>
      <c r="C14" s="2">
        <v>555</v>
      </c>
      <c r="D14" s="2">
        <v>572</v>
      </c>
      <c r="E14" s="2">
        <v>596</v>
      </c>
      <c r="F14" s="2">
        <v>621</v>
      </c>
      <c r="G14" s="2">
        <v>645</v>
      </c>
      <c r="H14" s="2">
        <v>668</v>
      </c>
      <c r="I14" s="2">
        <v>692</v>
      </c>
      <c r="J14" s="2">
        <v>715</v>
      </c>
      <c r="K14" s="2">
        <v>740</v>
      </c>
      <c r="L14" s="2">
        <v>764</v>
      </c>
      <c r="M14" s="2">
        <v>788</v>
      </c>
    </row>
    <row r="15" spans="1:13" x14ac:dyDescent="0.35">
      <c r="A15" s="4" t="s">
        <v>211</v>
      </c>
      <c r="B15" s="2">
        <v>635</v>
      </c>
      <c r="C15" s="2">
        <v>679</v>
      </c>
      <c r="D15" s="2">
        <v>655</v>
      </c>
      <c r="E15" s="2">
        <v>682</v>
      </c>
      <c r="F15" s="2">
        <v>705</v>
      </c>
      <c r="G15" s="2">
        <v>730</v>
      </c>
      <c r="H15" s="2">
        <v>754</v>
      </c>
      <c r="I15" s="2">
        <v>779</v>
      </c>
      <c r="J15" s="2">
        <v>801</v>
      </c>
      <c r="K15" s="2">
        <v>826</v>
      </c>
      <c r="L15" s="2">
        <v>850</v>
      </c>
      <c r="M15" s="2">
        <v>876</v>
      </c>
    </row>
    <row r="16" spans="1:13" ht="29" x14ac:dyDescent="0.35">
      <c r="A16" s="4" t="s">
        <v>212</v>
      </c>
      <c r="B16" s="2">
        <v>244</v>
      </c>
      <c r="C16" s="2">
        <v>242</v>
      </c>
      <c r="D16" s="2">
        <v>215</v>
      </c>
      <c r="E16" s="2">
        <v>260</v>
      </c>
      <c r="F16" s="2">
        <v>284</v>
      </c>
      <c r="G16" s="2">
        <v>308</v>
      </c>
      <c r="H16" s="2">
        <v>330</v>
      </c>
      <c r="I16" s="2">
        <v>355</v>
      </c>
      <c r="J16" s="2">
        <v>379</v>
      </c>
      <c r="K16" s="2">
        <v>402</v>
      </c>
      <c r="L16" s="2">
        <v>426</v>
      </c>
      <c r="M16" s="2">
        <v>450</v>
      </c>
    </row>
    <row r="17" spans="1:13" ht="43.5" x14ac:dyDescent="0.35">
      <c r="A17" s="4" t="s">
        <v>213</v>
      </c>
      <c r="B17" s="2">
        <v>440</v>
      </c>
      <c r="C17" s="2">
        <v>574</v>
      </c>
      <c r="D17" s="2">
        <v>619</v>
      </c>
      <c r="E17" s="2">
        <v>645</v>
      </c>
      <c r="F17" s="2">
        <v>670</v>
      </c>
      <c r="G17" s="2">
        <v>695</v>
      </c>
      <c r="H17" s="2">
        <v>720</v>
      </c>
      <c r="I17" s="2">
        <v>744</v>
      </c>
      <c r="J17" s="2">
        <v>770</v>
      </c>
      <c r="K17" s="2">
        <v>795</v>
      </c>
      <c r="L17" s="2">
        <v>820</v>
      </c>
      <c r="M17" s="2">
        <v>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94F99-B766-4EDD-BC5F-1206688017BE}">
  <dimension ref="A1:B13"/>
  <sheetViews>
    <sheetView workbookViewId="0">
      <selection activeCell="B5" sqref="B5"/>
    </sheetView>
  </sheetViews>
  <sheetFormatPr defaultRowHeight="14.5" x14ac:dyDescent="0.35"/>
  <cols>
    <col min="1" max="1" width="20.26953125" customWidth="1"/>
    <col min="2" max="2" width="17.90625" customWidth="1"/>
  </cols>
  <sheetData>
    <row r="1" spans="1:2" x14ac:dyDescent="0.35">
      <c r="A1" s="1" t="s">
        <v>6</v>
      </c>
      <c r="B1" s="3" t="s">
        <v>214</v>
      </c>
    </row>
    <row r="2" spans="1:2" x14ac:dyDescent="0.35">
      <c r="A2" s="4" t="s">
        <v>215</v>
      </c>
      <c r="B2" s="5">
        <v>1200</v>
      </c>
    </row>
    <row r="3" spans="1:2" x14ac:dyDescent="0.35">
      <c r="A3" s="4" t="s">
        <v>216</v>
      </c>
      <c r="B3" s="2">
        <v>450</v>
      </c>
    </row>
    <row r="4" spans="1:2" x14ac:dyDescent="0.35">
      <c r="A4" s="4" t="s">
        <v>217</v>
      </c>
      <c r="B4" s="2">
        <v>180</v>
      </c>
    </row>
    <row r="5" spans="1:2" x14ac:dyDescent="0.35">
      <c r="A5" s="4" t="s">
        <v>218</v>
      </c>
      <c r="B5" s="2">
        <v>120</v>
      </c>
    </row>
    <row r="6" spans="1:2" x14ac:dyDescent="0.35">
      <c r="A6" s="4" t="s">
        <v>219</v>
      </c>
      <c r="B6" s="2">
        <v>-320</v>
      </c>
    </row>
    <row r="7" spans="1:2" x14ac:dyDescent="0.35">
      <c r="A7" s="4" t="s">
        <v>220</v>
      </c>
      <c r="B7" s="2">
        <v>-210</v>
      </c>
    </row>
    <row r="8" spans="1:2" x14ac:dyDescent="0.35">
      <c r="A8" s="4" t="s">
        <v>221</v>
      </c>
      <c r="B8" s="2">
        <v>-140</v>
      </c>
    </row>
    <row r="9" spans="1:2" ht="29" x14ac:dyDescent="0.35">
      <c r="A9" s="4" t="s">
        <v>222</v>
      </c>
      <c r="B9" s="2">
        <v>-60</v>
      </c>
    </row>
    <row r="10" spans="1:2" x14ac:dyDescent="0.35">
      <c r="A10" s="4" t="s">
        <v>223</v>
      </c>
      <c r="B10" s="2">
        <v>90</v>
      </c>
    </row>
    <row r="11" spans="1:2" ht="29" x14ac:dyDescent="0.35">
      <c r="A11" s="4" t="s">
        <v>224</v>
      </c>
      <c r="B11" s="2">
        <v>160</v>
      </c>
    </row>
    <row r="12" spans="1:2" ht="29" x14ac:dyDescent="0.35">
      <c r="A12" s="4" t="s">
        <v>225</v>
      </c>
      <c r="B12" s="2">
        <v>-80</v>
      </c>
    </row>
    <row r="13" spans="1:2" x14ac:dyDescent="0.35">
      <c r="A13" s="4" t="s">
        <v>226</v>
      </c>
      <c r="B13" s="5">
        <v>1390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1DD0-C3F9-41CF-A11D-41B08A92C6B7}">
  <dimension ref="A1:D13"/>
  <sheetViews>
    <sheetView tabSelected="1" topLeftCell="A3" workbookViewId="0">
      <selection activeCell="D14" sqref="D14"/>
    </sheetView>
  </sheetViews>
  <sheetFormatPr defaultRowHeight="14.5" x14ac:dyDescent="0.35"/>
  <cols>
    <col min="1" max="1" width="6.54296875" bestFit="1" customWidth="1"/>
    <col min="2" max="2" width="21.26953125" bestFit="1" customWidth="1"/>
    <col min="3" max="3" width="19.08984375" customWidth="1"/>
    <col min="4" max="4" width="13.36328125" customWidth="1"/>
  </cols>
  <sheetData>
    <row r="1" spans="1:4" ht="29" x14ac:dyDescent="0.35">
      <c r="A1" s="1" t="s">
        <v>227</v>
      </c>
      <c r="B1" s="3" t="s">
        <v>228</v>
      </c>
      <c r="C1" s="3" t="s">
        <v>242</v>
      </c>
      <c r="D1" s="3" t="s">
        <v>229</v>
      </c>
    </row>
    <row r="2" spans="1:4" x14ac:dyDescent="0.35">
      <c r="A2" s="4" t="s">
        <v>230</v>
      </c>
      <c r="B2" s="2">
        <v>420</v>
      </c>
      <c r="C2" s="2">
        <v>180</v>
      </c>
      <c r="D2" s="2">
        <v>120</v>
      </c>
    </row>
    <row r="3" spans="1:4" x14ac:dyDescent="0.35">
      <c r="A3" s="4" t="s">
        <v>231</v>
      </c>
      <c r="B3" s="2">
        <v>460</v>
      </c>
      <c r="C3" s="2">
        <v>195</v>
      </c>
      <c r="D3" s="2">
        <v>135</v>
      </c>
    </row>
    <row r="4" spans="1:4" x14ac:dyDescent="0.35">
      <c r="A4" s="4" t="s">
        <v>232</v>
      </c>
      <c r="B4" s="2">
        <v>510</v>
      </c>
      <c r="C4" s="2">
        <v>210</v>
      </c>
      <c r="D4" s="2">
        <v>148</v>
      </c>
    </row>
    <row r="5" spans="1:4" x14ac:dyDescent="0.35">
      <c r="A5" s="4" t="s">
        <v>233</v>
      </c>
      <c r="B5" s="2">
        <v>495</v>
      </c>
      <c r="C5" s="2">
        <v>205</v>
      </c>
      <c r="D5" s="2">
        <v>142</v>
      </c>
    </row>
    <row r="6" spans="1:4" x14ac:dyDescent="0.35">
      <c r="A6" s="4" t="s">
        <v>234</v>
      </c>
      <c r="B6" s="2">
        <v>530</v>
      </c>
      <c r="C6" s="2">
        <v>225</v>
      </c>
      <c r="D6" s="2">
        <v>155</v>
      </c>
    </row>
    <row r="7" spans="1:4" x14ac:dyDescent="0.35">
      <c r="A7" s="4" t="s">
        <v>235</v>
      </c>
      <c r="B7" s="2">
        <v>580</v>
      </c>
      <c r="C7" s="2">
        <v>240</v>
      </c>
      <c r="D7" s="2">
        <v>168</v>
      </c>
    </row>
    <row r="8" spans="1:4" x14ac:dyDescent="0.35">
      <c r="A8" s="4" t="s">
        <v>236</v>
      </c>
      <c r="B8" s="2">
        <v>610</v>
      </c>
      <c r="C8" s="2">
        <v>255</v>
      </c>
      <c r="D8" s="2">
        <v>176</v>
      </c>
    </row>
    <row r="9" spans="1:4" x14ac:dyDescent="0.35">
      <c r="A9" s="4" t="s">
        <v>237</v>
      </c>
      <c r="B9" s="2">
        <v>640</v>
      </c>
      <c r="C9" s="2">
        <v>268</v>
      </c>
      <c r="D9" s="2">
        <v>182</v>
      </c>
    </row>
    <row r="10" spans="1:4" x14ac:dyDescent="0.35">
      <c r="A10" s="4" t="s">
        <v>238</v>
      </c>
      <c r="B10" s="2">
        <v>625</v>
      </c>
      <c r="C10" s="2">
        <v>260</v>
      </c>
      <c r="D10" s="2">
        <v>179</v>
      </c>
    </row>
    <row r="11" spans="1:4" x14ac:dyDescent="0.35">
      <c r="A11" s="4" t="s">
        <v>239</v>
      </c>
      <c r="B11" s="2">
        <v>670</v>
      </c>
      <c r="C11" s="2">
        <v>278</v>
      </c>
      <c r="D11" s="2">
        <v>190</v>
      </c>
    </row>
    <row r="12" spans="1:4" x14ac:dyDescent="0.35">
      <c r="A12" s="4" t="s">
        <v>240</v>
      </c>
      <c r="B12" s="2">
        <v>720</v>
      </c>
      <c r="C12" s="2">
        <v>295</v>
      </c>
      <c r="D12" s="2">
        <v>205</v>
      </c>
    </row>
    <row r="13" spans="1:4" x14ac:dyDescent="0.35">
      <c r="A13" s="4" t="s">
        <v>241</v>
      </c>
      <c r="B13" s="2">
        <v>760</v>
      </c>
      <c r="C13" s="2">
        <v>315</v>
      </c>
      <c r="D13" s="2">
        <v>218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8E9F69B-E06E-49DB-B52C-68133B217907}">
  <ds:schemaRefs/>
</ds:datastoreItem>
</file>

<file path=customXml/itemProps2.xml><?xml version="1.0" encoding="utf-8"?>
<ds:datastoreItem xmlns:ds="http://schemas.openxmlformats.org/officeDocument/2006/customXml" ds:itemID="{09E6AB5B-DE75-48A3-AABE-DE54DDE46766}">
  <ds:schemaRefs/>
</ds:datastoreItem>
</file>

<file path=customXml/itemProps3.xml><?xml version="1.0" encoding="utf-8"?>
<ds:datastoreItem xmlns:ds="http://schemas.openxmlformats.org/officeDocument/2006/customXml" ds:itemID="{16070D52-09BF-4632-8BDC-964EFDB6B00A}">
  <ds:schemaRefs/>
</ds:datastoreItem>
</file>

<file path=customXml/itemProps4.xml><?xml version="1.0" encoding="utf-8"?>
<ds:datastoreItem xmlns:ds="http://schemas.openxmlformats.org/officeDocument/2006/customXml" ds:itemID="{AA0CA4A8-4D13-4995-9093-3476C1E1A21F}">
  <ds:schemaRefs/>
</ds:datastoreItem>
</file>

<file path=customXml/itemProps5.xml><?xml version="1.0" encoding="utf-8"?>
<ds:datastoreItem xmlns:ds="http://schemas.openxmlformats.org/officeDocument/2006/customXml" ds:itemID="{3DB3E6EC-6542-484F-870A-062C709875D7}">
  <ds:schemaRefs/>
</ds:datastoreItem>
</file>

<file path=customXml/itemProps6.xml><?xml version="1.0" encoding="utf-8"?>
<ds:datastoreItem xmlns:ds="http://schemas.openxmlformats.org/officeDocument/2006/customXml" ds:itemID="{8EA32FCF-EB08-48CC-AFB8-B0F6E26B5FF4}">
  <ds:schemaRefs/>
</ds:datastoreItem>
</file>

<file path=customXml/itemProps7.xml><?xml version="1.0" encoding="utf-8"?>
<ds:datastoreItem xmlns:ds="http://schemas.openxmlformats.org/officeDocument/2006/customXml" ds:itemID="{8D32384D-33DF-410B-96D4-E45829A560DB}">
  <ds:schemaRefs/>
</ds:datastoreItem>
</file>

<file path=customXml/itemProps8.xml><?xml version="1.0" encoding="utf-8"?>
<ds:datastoreItem xmlns:ds="http://schemas.openxmlformats.org/officeDocument/2006/customXml" ds:itemID="{640159D7-86B9-43D4-B3FB-79EBE0C313D2}">
  <ds:schemaRefs/>
</ds:datastoreItem>
</file>

<file path=customXml/itemProps9.xml><?xml version="1.0" encoding="utf-8"?>
<ds:datastoreItem xmlns:ds="http://schemas.openxmlformats.org/officeDocument/2006/customXml" ds:itemID="{59BB0AB8-C980-4B2D-BDF2-FB9D4CC833A5}">
  <ds:schemaRefs/>
</ds:datastoreItem>
</file>

<file path=customXml/itemProps10.xml><?xml version="1.0" encoding="utf-8"?>
<ds:datastoreItem xmlns:ds="http://schemas.openxmlformats.org/officeDocument/2006/customXml" ds:itemID="{98AB97DA-14DA-4D0F-8720-42EF4495A33C}">
  <ds:schemaRefs/>
</ds:datastoreItem>
</file>

<file path=customXml/itemProps11.xml><?xml version="1.0" encoding="utf-8"?>
<ds:datastoreItem xmlns:ds="http://schemas.openxmlformats.org/officeDocument/2006/customXml" ds:itemID="{85BA79F1-18E5-449A-9CD1-BC569068EB8F}">
  <ds:schemaRefs/>
</ds:datastoreItem>
</file>

<file path=customXml/itemProps12.xml><?xml version="1.0" encoding="utf-8"?>
<ds:datastoreItem xmlns:ds="http://schemas.openxmlformats.org/officeDocument/2006/customXml" ds:itemID="{BC4BC2D4-54A2-494F-80ED-066C6F0FB797}">
  <ds:schemaRefs/>
</ds:datastoreItem>
</file>

<file path=customXml/itemProps13.xml><?xml version="1.0" encoding="utf-8"?>
<ds:datastoreItem xmlns:ds="http://schemas.openxmlformats.org/officeDocument/2006/customXml" ds:itemID="{01D7C1DD-2B30-41FD-93AE-1141C930A0B2}">
  <ds:schemaRefs/>
</ds:datastoreItem>
</file>

<file path=customXml/itemProps14.xml><?xml version="1.0" encoding="utf-8"?>
<ds:datastoreItem xmlns:ds="http://schemas.openxmlformats.org/officeDocument/2006/customXml" ds:itemID="{75F60686-45D2-4D30-8820-8097784F7C8A}">
  <ds:schemaRefs/>
</ds:datastoreItem>
</file>

<file path=customXml/itemProps15.xml><?xml version="1.0" encoding="utf-8"?>
<ds:datastoreItem xmlns:ds="http://schemas.openxmlformats.org/officeDocument/2006/customXml" ds:itemID="{18962440-5D52-4E46-82C3-4E97A768ED8D}">
  <ds:schemaRefs/>
</ds:datastoreItem>
</file>

<file path=customXml/itemProps16.xml><?xml version="1.0" encoding="utf-8"?>
<ds:datastoreItem xmlns:ds="http://schemas.openxmlformats.org/officeDocument/2006/customXml" ds:itemID="{2D325EBA-AE0F-4131-B7BD-BC61FF7E891F}">
  <ds:schemaRefs/>
</ds:datastoreItem>
</file>

<file path=customXml/itemProps17.xml><?xml version="1.0" encoding="utf-8"?>
<ds:datastoreItem xmlns:ds="http://schemas.openxmlformats.org/officeDocument/2006/customXml" ds:itemID="{137A1E3A-D935-45DC-B1D7-FB948D09762A}">
  <ds:schemaRefs/>
</ds:datastoreItem>
</file>

<file path=customXml/itemProps18.xml><?xml version="1.0" encoding="utf-8"?>
<ds:datastoreItem xmlns:ds="http://schemas.openxmlformats.org/officeDocument/2006/customXml" ds:itemID="{06B077C9-5274-4067-991F-E16C73603140}">
  <ds:schemaRefs/>
</ds:datastoreItem>
</file>

<file path=customXml/itemProps19.xml><?xml version="1.0" encoding="utf-8"?>
<ds:datastoreItem xmlns:ds="http://schemas.openxmlformats.org/officeDocument/2006/customXml" ds:itemID="{6100FD8C-8AEF-4D18-A1C8-C6A7B19992C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Orders</vt:lpstr>
      <vt:lpstr>Product</vt:lpstr>
      <vt:lpstr>SalesRep</vt:lpstr>
      <vt:lpstr>SalesData</vt:lpstr>
      <vt:lpstr>Sparklines</vt:lpstr>
      <vt:lpstr>Waterfall</vt:lpstr>
      <vt:lpstr>Combo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Kheng Yee Goh</dc:creator>
  <cp:lastModifiedBy>Kheng Yee</cp:lastModifiedBy>
  <dcterms:created xsi:type="dcterms:W3CDTF">2015-06-05T18:17:20Z</dcterms:created>
  <dcterms:modified xsi:type="dcterms:W3CDTF">2026-05-11T00:36:53Z</dcterms:modified>
</cp:coreProperties>
</file>